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2020-2024" sheetId="3" r:id="rId1"/>
    <sheet name="No Standing Arrear" sheetId="4" r:id="rId2"/>
    <sheet name="Less than 3 Arrear" sheetId="5" r:id="rId3"/>
    <sheet name="More than 3 Arrear" sheetId="6" r:id="rId4"/>
  </sheets>
  <calcPr calcId="124519"/>
</workbook>
</file>

<file path=xl/calcChain.xml><?xml version="1.0" encoding="utf-8"?>
<calcChain xmlns="http://schemas.openxmlformats.org/spreadsheetml/2006/main">
  <c r="AD4" i="3"/>
  <c r="AD5"/>
  <c r="AD6"/>
  <c r="AD7"/>
  <c r="AD8"/>
  <c r="AD9"/>
  <c r="AD10"/>
  <c r="AD11"/>
  <c r="AD12"/>
  <c r="AD13"/>
  <c r="AD14"/>
  <c r="AD15"/>
  <c r="AD16"/>
  <c r="AD3"/>
</calcChain>
</file>

<file path=xl/sharedStrings.xml><?xml version="1.0" encoding="utf-8"?>
<sst xmlns="http://schemas.openxmlformats.org/spreadsheetml/2006/main" count="535" uniqueCount="205">
  <si>
    <t>Sl. No.</t>
  </si>
  <si>
    <t>SPR #</t>
  </si>
  <si>
    <t>Univ. Regn. No.</t>
  </si>
  <si>
    <t>Name</t>
  </si>
  <si>
    <t>Gender</t>
  </si>
  <si>
    <t>Date of Birth DD.MM.YY</t>
  </si>
  <si>
    <t>Blood Group</t>
  </si>
  <si>
    <t>Aadhar No.</t>
  </si>
  <si>
    <t>Mobile No.</t>
  </si>
  <si>
    <t>email id</t>
  </si>
  <si>
    <t>Name of the father / guardian</t>
  </si>
  <si>
    <t>Occupation</t>
  </si>
  <si>
    <t>Add1 (1st line)</t>
  </si>
  <si>
    <t>Landline (with STD code)</t>
  </si>
  <si>
    <t>Parent Mobile (not your no.)</t>
  </si>
  <si>
    <t>Hosteller Yes / No</t>
  </si>
  <si>
    <t>Licence Yes / No</t>
  </si>
  <si>
    <t>Passport Yes / No</t>
  </si>
  <si>
    <t>Dip %</t>
  </si>
  <si>
    <t>Sem1 GPA</t>
  </si>
  <si>
    <t>Sem2 GPA</t>
  </si>
  <si>
    <t>Sem3 GPA</t>
  </si>
  <si>
    <t>Sem4 GPA</t>
  </si>
  <si>
    <t>Sem5 GPA</t>
  </si>
  <si>
    <t>No. of History of Arrears</t>
  </si>
  <si>
    <t>No. of standing Arrears</t>
  </si>
  <si>
    <t>Signature of the candidate</t>
  </si>
  <si>
    <t>X  %</t>
  </si>
  <si>
    <t>XII  %</t>
  </si>
  <si>
    <t>ABINAYA K S</t>
  </si>
  <si>
    <t>ABUTHALIF A</t>
  </si>
  <si>
    <t>ARAVINDHAN K</t>
  </si>
  <si>
    <t>DEENADHAYALAN M</t>
  </si>
  <si>
    <t>DHANARAJ S</t>
  </si>
  <si>
    <t>MOHAMED IRFAN A</t>
  </si>
  <si>
    <t>MUNIYAPPAN R</t>
  </si>
  <si>
    <t>SAIRAM V</t>
  </si>
  <si>
    <t>SINDHU S</t>
  </si>
  <si>
    <t>CHANDRU V</t>
  </si>
  <si>
    <t>DHARSHAN . S</t>
  </si>
  <si>
    <t>MOHAN G</t>
  </si>
  <si>
    <t>PRADEEP R</t>
  </si>
  <si>
    <t>PRAKASH.S.B</t>
  </si>
  <si>
    <t>VASANTH M</t>
  </si>
  <si>
    <t>Female</t>
  </si>
  <si>
    <t>Male</t>
  </si>
  <si>
    <t>abinaya.civil20@mamcet.com</t>
  </si>
  <si>
    <t>abuthalif.civil20@mamcet.com</t>
  </si>
  <si>
    <t>aravindhan.civil20@mamcet.com</t>
  </si>
  <si>
    <t>deenadhayalan.civil20@mamcet.com</t>
  </si>
  <si>
    <t>dhanaraj.civil20@mamcet.com</t>
  </si>
  <si>
    <t>mohamedirfan.civil20@mamcet.com</t>
  </si>
  <si>
    <t>muniyappan.civil20@mamcet.com</t>
  </si>
  <si>
    <t>sairam.civil20@mamcet.com</t>
  </si>
  <si>
    <t>sindhu.civil20@mamcet.com</t>
  </si>
  <si>
    <t>chandru.civil20@mamcet.com</t>
  </si>
  <si>
    <t>dharshan.civil20@mamcet.com</t>
  </si>
  <si>
    <t>mohan.civil20@mamcet.com</t>
  </si>
  <si>
    <t>pradeep.civil20@mamcet.com</t>
  </si>
  <si>
    <t>vasanth.civil20@mamcet.com</t>
  </si>
  <si>
    <t>No</t>
  </si>
  <si>
    <t>Yes</t>
  </si>
  <si>
    <t>prakash.civil20@mamcet.com</t>
  </si>
  <si>
    <t>*</t>
  </si>
  <si>
    <t>Nil</t>
  </si>
  <si>
    <t>93426 80738</t>
  </si>
  <si>
    <t>O +ve</t>
  </si>
  <si>
    <t>B +ve</t>
  </si>
  <si>
    <t>A +ve</t>
  </si>
  <si>
    <t>Kumar. R</t>
  </si>
  <si>
    <t>Kooli</t>
  </si>
  <si>
    <t>R.Kamaraj</t>
  </si>
  <si>
    <t>Farmer</t>
  </si>
  <si>
    <t>Ramachandran</t>
  </si>
  <si>
    <t>Vijaya Kumar</t>
  </si>
  <si>
    <t>Worker</t>
  </si>
  <si>
    <t>Construction worker</t>
  </si>
  <si>
    <t>C.Gopalakrishnan</t>
  </si>
  <si>
    <t>Farmar</t>
  </si>
  <si>
    <t>Ravikumar.A</t>
  </si>
  <si>
    <t>T.Mathiyazhagan</t>
  </si>
  <si>
    <t>General Merchant</t>
  </si>
  <si>
    <t>Buisness</t>
  </si>
  <si>
    <t>Labour</t>
  </si>
  <si>
    <t>Sales Representative</t>
  </si>
  <si>
    <t>No more</t>
  </si>
  <si>
    <t>3/89c Thanthai periyar nagar, Kulumur (p.o)Sendurai (T.k)Ariyalur (D.t) pin 621714</t>
  </si>
  <si>
    <t>Captain nagar, shivraj timbers opp, thuraiyur road, perambalur-621212</t>
  </si>
  <si>
    <t>2a Felix tower ammayappan nagr vaylour road Trichy -17</t>
  </si>
  <si>
    <t>M.vasanth,s/o mathiyazhagan,east Street,nallanayagapuram,vanjinapuram(p), sendurai (tk), Ariyalur(td),pin code[621 714].</t>
  </si>
  <si>
    <t>6,Avvaiyaar Street,East Side,Thuraimangalam, Perambalur-621220.</t>
  </si>
  <si>
    <t>Ammakulam, Ariyamangalam, Trichy 10</t>
  </si>
  <si>
    <t>319/4, Ezhil Nagar, Mullai Street, Trichy -14</t>
  </si>
  <si>
    <t>5/34 South Street,Veppanthattai(Tk),Thambai-621115,Perambalur(Dt).</t>
  </si>
  <si>
    <t>10/11A,Dayana Nagar, Mathanagopalapuram,Peramabalur-621212</t>
  </si>
  <si>
    <t>7/10E, Pandarinathapuram,Beema Nagar,Trichy-620001</t>
  </si>
  <si>
    <t>35/B, East Street, Koman,Kadambur (po), Ariyalur (Dt),(tk)</t>
  </si>
  <si>
    <t>No:4 5th Cross Mudalapaly, Priyadarshini Layout,Nagar Bhavi Main Road, Bangalore -560072</t>
  </si>
  <si>
    <t>3/341, North Street, Sathanatham, Nannai(PO), Kunnam Tk, Perambalur Dt -621717</t>
  </si>
  <si>
    <t>6/197 South Street Colony,Addaikampatty,Alathur,Perambalur-621118</t>
  </si>
  <si>
    <t>No/43,Thimmaraya Samuthiram,TV.kovil,Srirangam,Trichy-5</t>
  </si>
  <si>
    <t xml:space="preserve"> Ashraf Ali.K</t>
  </si>
  <si>
    <t>Mohandas.S</t>
  </si>
  <si>
    <t>Sakthivel.S</t>
  </si>
  <si>
    <t xml:space="preserve"> Akbar Basha.E</t>
  </si>
  <si>
    <t>Selvam.V</t>
  </si>
  <si>
    <t>Venkatesan.K</t>
  </si>
  <si>
    <t>Shanmugam.G</t>
  </si>
  <si>
    <t>Baskaran.B</t>
  </si>
  <si>
    <t>GPA(UP TO 6)</t>
  </si>
  <si>
    <t>Communication skill</t>
  </si>
  <si>
    <t>Technical skill</t>
  </si>
  <si>
    <t>Project</t>
  </si>
  <si>
    <t>Number of projects</t>
  </si>
  <si>
    <t>Number of arrears</t>
  </si>
  <si>
    <t>CORE</t>
  </si>
  <si>
    <t xml:space="preserve">Major </t>
  </si>
  <si>
    <t>Minor</t>
  </si>
  <si>
    <t>Interested Platform</t>
  </si>
  <si>
    <t>IT</t>
  </si>
  <si>
    <t>Abisri R</t>
  </si>
  <si>
    <t>Boobalan N</t>
  </si>
  <si>
    <t>Dhanusree K</t>
  </si>
  <si>
    <t>Gokul K</t>
  </si>
  <si>
    <t>Gokulraj M</t>
  </si>
  <si>
    <t>Haridasan V</t>
  </si>
  <si>
    <t>Karthickumar V</t>
  </si>
  <si>
    <t>Pradheepa B</t>
  </si>
  <si>
    <t>Radheesh Kumar M</t>
  </si>
  <si>
    <t>Saleem J</t>
  </si>
  <si>
    <t>Senthamilselvan M</t>
  </si>
  <si>
    <t>Sevvanthi A</t>
  </si>
  <si>
    <t>Yakooth Misriya M</t>
  </si>
  <si>
    <t>Gobikachandan C</t>
  </si>
  <si>
    <t>08-Dec-2005</t>
  </si>
  <si>
    <t>04-Aug-2005</t>
  </si>
  <si>
    <t>23-Apr-2006</t>
  </si>
  <si>
    <t>12-Oct-2005</t>
  </si>
  <si>
    <t>22-Apr-2006</t>
  </si>
  <si>
    <t>01-Nov-2005</t>
  </si>
  <si>
    <t>07-Mar-2006</t>
  </si>
  <si>
    <t>23-Jun-2006</t>
  </si>
  <si>
    <t>04-Jan-2006</t>
  </si>
  <si>
    <t>28-May-2006</t>
  </si>
  <si>
    <t>13-Dec-2006</t>
  </si>
  <si>
    <t>09.08.2006</t>
  </si>
  <si>
    <t>B+</t>
  </si>
  <si>
    <t>O+</t>
  </si>
  <si>
    <t>A+</t>
  </si>
  <si>
    <t>9344270024</t>
  </si>
  <si>
    <t>8072551085</t>
  </si>
  <si>
    <t>8838136865</t>
  </si>
  <si>
    <t>6385621105</t>
  </si>
  <si>
    <t>6374581439</t>
  </si>
  <si>
    <t>8778972868</t>
  </si>
  <si>
    <t>9942202531</t>
  </si>
  <si>
    <t>abisri.civil23@mamcet.com</t>
  </si>
  <si>
    <t>boobalan.civil23@mamcet.com</t>
  </si>
  <si>
    <t>dhanusree.civil23@mamcet.com</t>
  </si>
  <si>
    <t>gokul.civil23@mamcet.com</t>
  </si>
  <si>
    <t>gokulraj.civil23@mamcet.com</t>
  </si>
  <si>
    <t>haridasan.civil23@mamcet.com</t>
  </si>
  <si>
    <t>karthickumar.civil23@mamcet.com</t>
  </si>
  <si>
    <t>pradeepa.civil23@mamcet.com</t>
  </si>
  <si>
    <t>radheeshkumar.civil23@mamcet.com</t>
  </si>
  <si>
    <t>saleem.civil23@mamcet.com</t>
  </si>
  <si>
    <t>senthamilselvan.civil23@mamcet.com</t>
  </si>
  <si>
    <t>sevvanthi.civil23@mamcet.com</t>
  </si>
  <si>
    <t>yakoothmisriya.civil23@mamcet.com</t>
  </si>
  <si>
    <t>gobikachandan.civil23@mamcet.com</t>
  </si>
  <si>
    <t>Ravikumar R</t>
  </si>
  <si>
    <t>Nagooran M</t>
  </si>
  <si>
    <t>Kathalingam M</t>
  </si>
  <si>
    <t>Kumar V</t>
  </si>
  <si>
    <t>Mani V</t>
  </si>
  <si>
    <t>Vetriselvan V</t>
  </si>
  <si>
    <t>Venkadesan S</t>
  </si>
  <si>
    <t>Balu R</t>
  </si>
  <si>
    <t>Manikandan R</t>
  </si>
  <si>
    <t>Jafar Sadiq A</t>
  </si>
  <si>
    <t>Masilamani K</t>
  </si>
  <si>
    <t>Arul P</t>
  </si>
  <si>
    <t>Mohamed Ibrahim S</t>
  </si>
  <si>
    <t>Chandrasekan S</t>
  </si>
  <si>
    <t>abroad</t>
  </si>
  <si>
    <t>GOVT EMPLOY -TNCSC</t>
  </si>
  <si>
    <t>KOOLI</t>
  </si>
  <si>
    <t>Daily Wages</t>
  </si>
  <si>
    <t>Electrician</t>
  </si>
  <si>
    <t>Mason</t>
  </si>
  <si>
    <t>3/5A, North Street, Sathanatham, Nannai, Kunnam, Perambalur - 621717</t>
  </si>
  <si>
    <t>2/223,East Street,Moonamsethi, Mannargudi, Thiruvarur, 614016.</t>
  </si>
  <si>
    <t>5/115 , Kadiyakurichy , East  Street , Andhanallur.639101</t>
  </si>
  <si>
    <t>Kallakottai</t>
  </si>
  <si>
    <t>3/9, Korapatti, Poyyamani, Karur,639110.</t>
  </si>
  <si>
    <t>68/B, Keelakarumbiran Kottai, Alagundi, Pallathividuthi(po), Pudukottai - 622301.</t>
  </si>
  <si>
    <t>153/3, Deevalur Post, Thittakudi, Thazhanallur, Cuddalore -606110.</t>
  </si>
  <si>
    <t>2/49J, Arumugam store , Keezhavaladi, Lalgudi, Trichy - 621218.</t>
  </si>
  <si>
    <t>142, South Street, Meliruppu, Keezhiruppu PO, Panruti, Cuddalore - 607103</t>
  </si>
  <si>
    <t>56B , Anna street ,Kamaraj Nagar, Ariyamangalam, Trichy - 620010</t>
  </si>
  <si>
    <t>5/46 , Palakattu Mariyamman Kovil Street, Koppu North , Koppu, Srirangam ,Trichy - 639103</t>
  </si>
  <si>
    <t>103, New colony street , saththanatham , Navalure, Thittakudi, Cuddalore - 606111</t>
  </si>
  <si>
    <t>265, Kalaivanar Street, Anna Nagar, Mela Ambikapuram, Trichy - 620004</t>
  </si>
  <si>
    <t>Gobikachandan C
S/O. Chandrasekan S
3/170 Ayyanarpuram, Kalathur East ,
Kalathur ( Po ) , Pattukottai (Tk) 
Thanjavur- 614 804.</t>
  </si>
  <si>
    <t>9942864037</t>
  </si>
</sst>
</file>

<file path=xl/styles.xml><?xml version="1.0" encoding="utf-8"?>
<styleSheet xmlns="http://schemas.openxmlformats.org/spreadsheetml/2006/main">
  <numFmts count="1">
    <numFmt numFmtId="164" formatCode="0.0"/>
  </numFmts>
  <fonts count="15">
    <font>
      <sz val="11"/>
      <name val="Calibri"/>
      <scheme val="minor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mbria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" fontId="6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/>
    <xf numFmtId="0" fontId="7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9" fillId="0" borderId="0" xfId="0" applyFont="1" applyAlignment="1"/>
    <xf numFmtId="0" fontId="10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1" fontId="6" fillId="0" borderId="2" xfId="0" applyNumberFormat="1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1" applyFont="1" applyBorder="1" applyAlignment="1" applyProtection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9" fillId="0" borderId="2" xfId="0" applyFont="1" applyBorder="1" applyAlignment="1"/>
    <xf numFmtId="1" fontId="3" fillId="0" borderId="0" xfId="0" applyNumberFormat="1" applyFont="1"/>
    <xf numFmtId="1" fontId="4" fillId="0" borderId="0" xfId="0" applyNumberFormat="1" applyFont="1" applyAlignment="1"/>
    <xf numFmtId="0" fontId="11" fillId="0" borderId="2" xfId="0" applyFont="1" applyBorder="1" applyAlignment="1">
      <alignment horizontal="center" vertical="center" wrapText="1"/>
    </xf>
    <xf numFmtId="0" fontId="12" fillId="0" borderId="2" xfId="0" applyNumberFormat="1" applyFont="1" applyBorder="1" applyAlignment="1">
      <alignment horizontal="center" vertical="center"/>
    </xf>
    <xf numFmtId="15" fontId="12" fillId="0" borderId="2" xfId="0" applyNumberFormat="1" applyFont="1" applyBorder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164" fontId="12" fillId="4" borderId="2" xfId="0" applyNumberFormat="1" applyFont="1" applyFill="1" applyBorder="1" applyAlignment="1">
      <alignment horizontal="center" vertical="center"/>
    </xf>
    <xf numFmtId="0" fontId="1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left" vertical="center" wrapText="1"/>
    </xf>
    <xf numFmtId="1" fontId="4" fillId="0" borderId="2" xfId="0" applyNumberFormat="1" applyFont="1" applyFill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3"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0000"/>
      </font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obikachandan.civil23@mamce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rakash.civil20@mamc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00"/>
  <sheetViews>
    <sheetView tabSelected="1" topLeftCell="T1" workbookViewId="0">
      <selection activeCell="AE4" sqref="AE4"/>
    </sheetView>
  </sheetViews>
  <sheetFormatPr defaultColWidth="14.42578125" defaultRowHeight="15" customHeight="1"/>
  <cols>
    <col min="1" max="1" width="4" style="8" customWidth="1"/>
    <col min="2" max="2" width="9" style="8" customWidth="1"/>
    <col min="3" max="3" width="18.7109375" style="37" bestFit="1" customWidth="1"/>
    <col min="4" max="4" width="31.85546875" style="8" customWidth="1"/>
    <col min="5" max="5" width="9.42578125" style="8" customWidth="1"/>
    <col min="6" max="6" width="12.7109375" style="8" customWidth="1"/>
    <col min="7" max="7" width="8.140625" style="8" customWidth="1"/>
    <col min="8" max="8" width="13.140625" style="8" customWidth="1"/>
    <col min="9" max="9" width="12.5703125" style="8" customWidth="1"/>
    <col min="10" max="10" width="32.42578125" style="8" customWidth="1"/>
    <col min="11" max="11" width="24.140625" style="8" customWidth="1"/>
    <col min="12" max="12" width="18.7109375" style="8" customWidth="1"/>
    <col min="13" max="13" width="53.42578125" style="8" customWidth="1"/>
    <col min="14" max="14" width="12.7109375" style="8" customWidth="1"/>
    <col min="15" max="15" width="12.42578125" style="8" customWidth="1"/>
    <col min="16" max="16" width="8.28515625" style="8" customWidth="1"/>
    <col min="17" max="17" width="7.42578125" style="8" customWidth="1"/>
    <col min="18" max="18" width="7.85546875" style="8" customWidth="1"/>
    <col min="19" max="20" width="6.7109375" style="8" customWidth="1"/>
    <col min="21" max="21" width="6.42578125" style="8" customWidth="1"/>
    <col min="22" max="24" width="6.7109375" style="8" customWidth="1"/>
    <col min="25" max="26" width="6.140625" style="8" customWidth="1"/>
    <col min="27" max="27" width="10" style="8" customWidth="1"/>
    <col min="28" max="28" width="8.85546875" style="8" customWidth="1"/>
    <col min="29" max="29" width="10" style="8" customWidth="1"/>
    <col min="30" max="30" width="10.28515625" style="10" bestFit="1" customWidth="1"/>
    <col min="31" max="31" width="14.85546875" style="11" customWidth="1"/>
    <col min="32" max="37" width="9.140625" style="11" customWidth="1"/>
    <col min="38" max="38" width="8.42578125" style="8" customWidth="1"/>
    <col min="39" max="16384" width="14.42578125" style="8"/>
  </cols>
  <sheetData>
    <row r="1" spans="1:38" s="15" customFormat="1" ht="38.25" customHeight="1">
      <c r="A1" s="53" t="s">
        <v>0</v>
      </c>
      <c r="B1" s="55" t="s">
        <v>1</v>
      </c>
      <c r="C1" s="57" t="s">
        <v>2</v>
      </c>
      <c r="D1" s="55" t="s">
        <v>3</v>
      </c>
      <c r="E1" s="53" t="s">
        <v>4</v>
      </c>
      <c r="F1" s="51" t="s">
        <v>5</v>
      </c>
      <c r="G1" s="53" t="s">
        <v>6</v>
      </c>
      <c r="H1" s="53" t="s">
        <v>7</v>
      </c>
      <c r="I1" s="53" t="s">
        <v>8</v>
      </c>
      <c r="J1" s="55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27</v>
      </c>
      <c r="T1" s="53" t="s">
        <v>28</v>
      </c>
      <c r="U1" s="59" t="s">
        <v>18</v>
      </c>
      <c r="V1" s="64" t="s">
        <v>19</v>
      </c>
      <c r="W1" s="64" t="s">
        <v>20</v>
      </c>
      <c r="X1" s="64" t="s">
        <v>21</v>
      </c>
      <c r="Y1" s="66" t="s">
        <v>22</v>
      </c>
      <c r="Z1" s="53" t="s">
        <v>23</v>
      </c>
      <c r="AA1" s="53" t="s">
        <v>24</v>
      </c>
      <c r="AB1" s="53" t="s">
        <v>25</v>
      </c>
      <c r="AC1" s="71" t="s">
        <v>26</v>
      </c>
      <c r="AD1" s="73" t="s">
        <v>109</v>
      </c>
      <c r="AE1" s="62" t="s">
        <v>110</v>
      </c>
      <c r="AF1" s="62" t="s">
        <v>111</v>
      </c>
      <c r="AG1" s="75" t="s">
        <v>112</v>
      </c>
      <c r="AH1" s="76"/>
      <c r="AI1" s="62" t="s">
        <v>113</v>
      </c>
      <c r="AJ1" s="62" t="s">
        <v>114</v>
      </c>
      <c r="AK1" s="69" t="s">
        <v>118</v>
      </c>
      <c r="AL1" s="70"/>
    </row>
    <row r="2" spans="1:38" s="15" customFormat="1" ht="12.75">
      <c r="A2" s="54"/>
      <c r="B2" s="56"/>
      <c r="C2" s="58"/>
      <c r="D2" s="56"/>
      <c r="E2" s="54"/>
      <c r="F2" s="52"/>
      <c r="G2" s="54"/>
      <c r="H2" s="54"/>
      <c r="I2" s="54"/>
      <c r="J2" s="56"/>
      <c r="K2" s="54"/>
      <c r="L2" s="54"/>
      <c r="M2" s="54"/>
      <c r="N2" s="54"/>
      <c r="O2" s="54"/>
      <c r="P2" s="54"/>
      <c r="Q2" s="61"/>
      <c r="R2" s="61"/>
      <c r="S2" s="61"/>
      <c r="T2" s="61"/>
      <c r="U2" s="60"/>
      <c r="V2" s="65"/>
      <c r="W2" s="65"/>
      <c r="X2" s="65"/>
      <c r="Y2" s="67"/>
      <c r="Z2" s="61"/>
      <c r="AA2" s="61"/>
      <c r="AB2" s="61"/>
      <c r="AC2" s="72"/>
      <c r="AD2" s="74"/>
      <c r="AE2" s="63"/>
      <c r="AF2" s="63"/>
      <c r="AG2" s="28" t="s">
        <v>116</v>
      </c>
      <c r="AH2" s="28" t="s">
        <v>117</v>
      </c>
      <c r="AI2" s="63"/>
      <c r="AJ2" s="68"/>
      <c r="AK2" s="28" t="s">
        <v>115</v>
      </c>
      <c r="AL2" s="28" t="s">
        <v>119</v>
      </c>
    </row>
    <row r="3" spans="1:38" s="23" customFormat="1" ht="27.95" customHeight="1">
      <c r="A3" s="4">
        <v>1</v>
      </c>
      <c r="B3" s="5"/>
      <c r="C3" s="50">
        <v>812023103001</v>
      </c>
      <c r="D3" s="12" t="s">
        <v>120</v>
      </c>
      <c r="E3" s="13" t="s">
        <v>44</v>
      </c>
      <c r="F3" s="39" t="s">
        <v>134</v>
      </c>
      <c r="G3" s="39" t="s">
        <v>146</v>
      </c>
      <c r="H3" s="42">
        <v>721486936009</v>
      </c>
      <c r="I3" s="39" t="s">
        <v>149</v>
      </c>
      <c r="J3" s="43" t="s">
        <v>156</v>
      </c>
      <c r="K3" s="45" t="s">
        <v>170</v>
      </c>
      <c r="L3" s="43" t="s">
        <v>184</v>
      </c>
      <c r="M3" s="46" t="s">
        <v>190</v>
      </c>
      <c r="N3" s="14"/>
      <c r="O3" s="42">
        <v>9585076931</v>
      </c>
      <c r="P3" s="13" t="s">
        <v>60</v>
      </c>
      <c r="Q3" s="13" t="s">
        <v>60</v>
      </c>
      <c r="R3" s="13" t="s">
        <v>60</v>
      </c>
      <c r="S3" s="4"/>
      <c r="T3" s="7">
        <v>67.3</v>
      </c>
      <c r="U3" s="13" t="s">
        <v>64</v>
      </c>
      <c r="V3" s="29">
        <v>8.11</v>
      </c>
      <c r="W3" s="30">
        <v>8.06</v>
      </c>
      <c r="X3" s="29">
        <v>7.43</v>
      </c>
      <c r="Y3" s="30">
        <v>8.5</v>
      </c>
      <c r="Z3" s="31">
        <v>8.24</v>
      </c>
      <c r="AA3" s="13" t="s">
        <v>61</v>
      </c>
      <c r="AB3" s="38">
        <v>6</v>
      </c>
      <c r="AC3" s="14"/>
      <c r="AD3" s="31">
        <f>AVERAGE(V3:Z3)</f>
        <v>8.0680000000000014</v>
      </c>
      <c r="AE3" s="22"/>
      <c r="AF3" s="22"/>
      <c r="AG3" s="22"/>
      <c r="AH3" s="22"/>
      <c r="AI3" s="22"/>
      <c r="AJ3" s="33">
        <v>0</v>
      </c>
      <c r="AK3" s="16"/>
      <c r="AL3" s="5"/>
    </row>
    <row r="4" spans="1:38" s="23" customFormat="1" ht="27.95" customHeight="1">
      <c r="A4" s="4">
        <v>2</v>
      </c>
      <c r="B4" s="5"/>
      <c r="C4" s="50">
        <v>812023103002</v>
      </c>
      <c r="D4" s="12" t="s">
        <v>121</v>
      </c>
      <c r="E4" s="13" t="s">
        <v>45</v>
      </c>
      <c r="F4" s="39" t="s">
        <v>135</v>
      </c>
      <c r="G4" s="39" t="s">
        <v>147</v>
      </c>
      <c r="H4" s="42">
        <v>660932165309</v>
      </c>
      <c r="I4" s="39" t="s">
        <v>150</v>
      </c>
      <c r="J4" s="43" t="s">
        <v>157</v>
      </c>
      <c r="K4" s="45" t="s">
        <v>171</v>
      </c>
      <c r="L4" s="43" t="s">
        <v>185</v>
      </c>
      <c r="M4" s="46" t="s">
        <v>191</v>
      </c>
      <c r="N4" s="14"/>
      <c r="O4" s="42">
        <v>9965310332</v>
      </c>
      <c r="P4" s="13" t="s">
        <v>60</v>
      </c>
      <c r="Q4" s="13" t="s">
        <v>60</v>
      </c>
      <c r="R4" s="13" t="s">
        <v>60</v>
      </c>
      <c r="S4" s="4"/>
      <c r="T4" s="7">
        <v>52</v>
      </c>
      <c r="U4" s="13" t="s">
        <v>64</v>
      </c>
      <c r="V4" s="29">
        <v>7.77</v>
      </c>
      <c r="W4" s="30">
        <v>8.7100000000000009</v>
      </c>
      <c r="X4" s="29">
        <v>7.25</v>
      </c>
      <c r="Y4" s="30">
        <v>8.25</v>
      </c>
      <c r="Z4" s="31">
        <v>9.1999999999999993</v>
      </c>
      <c r="AA4" s="13" t="s">
        <v>61</v>
      </c>
      <c r="AB4" s="38">
        <v>18</v>
      </c>
      <c r="AC4" s="14"/>
      <c r="AD4" s="31">
        <f>AVERAGE(V4:Z4)</f>
        <v>8.2360000000000007</v>
      </c>
      <c r="AE4" s="14"/>
      <c r="AF4" s="14"/>
      <c r="AG4" s="14"/>
      <c r="AH4" s="14"/>
      <c r="AI4" s="14"/>
      <c r="AJ4" s="33">
        <v>1</v>
      </c>
      <c r="AK4" s="14"/>
      <c r="AL4" s="5"/>
    </row>
    <row r="5" spans="1:38" s="23" customFormat="1" ht="27.95" customHeight="1">
      <c r="A5" s="4">
        <v>3</v>
      </c>
      <c r="B5" s="5"/>
      <c r="C5" s="50">
        <v>812023103003</v>
      </c>
      <c r="D5" s="12" t="s">
        <v>122</v>
      </c>
      <c r="E5" s="13" t="s">
        <v>44</v>
      </c>
      <c r="F5" s="40">
        <v>38904</v>
      </c>
      <c r="G5" s="39" t="s">
        <v>146</v>
      </c>
      <c r="H5" s="42">
        <v>439948206969</v>
      </c>
      <c r="I5" s="39">
        <v>9043044527</v>
      </c>
      <c r="J5" s="43" t="s">
        <v>158</v>
      </c>
      <c r="K5" s="45" t="s">
        <v>172</v>
      </c>
      <c r="L5" s="43" t="s">
        <v>72</v>
      </c>
      <c r="M5" s="46" t="s">
        <v>192</v>
      </c>
      <c r="N5" s="14"/>
      <c r="O5" s="42">
        <v>8489242269</v>
      </c>
      <c r="P5" s="13" t="s">
        <v>60</v>
      </c>
      <c r="Q5" s="13" t="s">
        <v>60</v>
      </c>
      <c r="R5" s="13" t="s">
        <v>60</v>
      </c>
      <c r="S5" s="4"/>
      <c r="T5" s="7">
        <v>62.3</v>
      </c>
      <c r="U5" s="13" t="s">
        <v>64</v>
      </c>
      <c r="V5" s="29">
        <v>8.27</v>
      </c>
      <c r="W5" s="30">
        <v>8.18</v>
      </c>
      <c r="X5" s="29">
        <v>7.38</v>
      </c>
      <c r="Y5" s="30">
        <v>8</v>
      </c>
      <c r="Z5" s="31">
        <v>8.07</v>
      </c>
      <c r="AA5" s="13" t="s">
        <v>61</v>
      </c>
      <c r="AB5" s="38">
        <v>2</v>
      </c>
      <c r="AC5" s="14"/>
      <c r="AD5" s="31">
        <f>AVERAGE(V5:Z5)</f>
        <v>7.9799999999999995</v>
      </c>
      <c r="AE5" s="14"/>
      <c r="AF5" s="14"/>
      <c r="AG5" s="14"/>
      <c r="AH5" s="14"/>
      <c r="AI5" s="14"/>
      <c r="AJ5" s="33">
        <v>0</v>
      </c>
      <c r="AK5" s="14"/>
      <c r="AL5" s="5"/>
    </row>
    <row r="6" spans="1:38" s="23" customFormat="1" ht="27.95" customHeight="1">
      <c r="A6" s="4">
        <v>4</v>
      </c>
      <c r="B6" s="5"/>
      <c r="C6" s="50">
        <v>812023103004</v>
      </c>
      <c r="D6" s="12" t="s">
        <v>123</v>
      </c>
      <c r="E6" s="13" t="s">
        <v>45</v>
      </c>
      <c r="F6" s="39" t="s">
        <v>136</v>
      </c>
      <c r="G6" s="39" t="s">
        <v>146</v>
      </c>
      <c r="H6" s="42">
        <v>253417118198</v>
      </c>
      <c r="I6" s="39">
        <v>7305230760</v>
      </c>
      <c r="J6" s="44" t="s">
        <v>159</v>
      </c>
      <c r="K6" s="45" t="s">
        <v>173</v>
      </c>
      <c r="L6" s="42" t="s">
        <v>186</v>
      </c>
      <c r="M6" s="47" t="s">
        <v>193</v>
      </c>
      <c r="N6" s="14"/>
      <c r="O6" s="42">
        <v>8525894821</v>
      </c>
      <c r="P6" s="13" t="s">
        <v>60</v>
      </c>
      <c r="Q6" s="13" t="s">
        <v>60</v>
      </c>
      <c r="R6" s="13" t="s">
        <v>60</v>
      </c>
      <c r="S6" s="4"/>
      <c r="T6" s="7">
        <v>62</v>
      </c>
      <c r="U6" s="13" t="s">
        <v>64</v>
      </c>
      <c r="V6" s="29">
        <v>6.8</v>
      </c>
      <c r="W6" s="30">
        <v>8</v>
      </c>
      <c r="X6" s="29">
        <v>8</v>
      </c>
      <c r="Y6" s="30">
        <v>9</v>
      </c>
      <c r="Z6" s="31">
        <v>7.73</v>
      </c>
      <c r="AA6" s="13" t="s">
        <v>61</v>
      </c>
      <c r="AB6" s="38">
        <v>22</v>
      </c>
      <c r="AC6" s="14"/>
      <c r="AD6" s="31">
        <f>AVERAGE(V6:Z6)</f>
        <v>7.9060000000000006</v>
      </c>
      <c r="AE6" s="14"/>
      <c r="AF6" s="14"/>
      <c r="AG6" s="14"/>
      <c r="AH6" s="14"/>
      <c r="AI6" s="14"/>
      <c r="AJ6" s="33">
        <v>0</v>
      </c>
      <c r="AK6" s="14"/>
      <c r="AL6" s="5"/>
    </row>
    <row r="7" spans="1:38" s="23" customFormat="1" ht="27.95" customHeight="1">
      <c r="A7" s="4">
        <v>5</v>
      </c>
      <c r="B7" s="5"/>
      <c r="C7" s="50">
        <v>812023103005</v>
      </c>
      <c r="D7" s="12" t="s">
        <v>124</v>
      </c>
      <c r="E7" s="13" t="s">
        <v>45</v>
      </c>
      <c r="F7" s="39" t="s">
        <v>137</v>
      </c>
      <c r="G7" s="39" t="s">
        <v>147</v>
      </c>
      <c r="H7" s="42">
        <v>941459863338</v>
      </c>
      <c r="I7" s="39" t="s">
        <v>151</v>
      </c>
      <c r="J7" s="44" t="s">
        <v>160</v>
      </c>
      <c r="K7" s="45" t="s">
        <v>174</v>
      </c>
      <c r="L7" s="42" t="s">
        <v>72</v>
      </c>
      <c r="M7" s="47" t="s">
        <v>194</v>
      </c>
      <c r="N7" s="14"/>
      <c r="O7" s="42">
        <v>9095104733</v>
      </c>
      <c r="P7" s="13" t="s">
        <v>60</v>
      </c>
      <c r="Q7" s="13" t="s">
        <v>60</v>
      </c>
      <c r="R7" s="13" t="s">
        <v>60</v>
      </c>
      <c r="S7" s="4"/>
      <c r="T7" s="7">
        <v>54.5</v>
      </c>
      <c r="U7" s="13" t="s">
        <v>64</v>
      </c>
      <c r="V7" s="29">
        <v>7.42</v>
      </c>
      <c r="W7" s="30">
        <v>8.85</v>
      </c>
      <c r="X7" s="29">
        <v>8.09</v>
      </c>
      <c r="Y7" s="30">
        <v>7.83</v>
      </c>
      <c r="Z7" s="31">
        <v>7.88</v>
      </c>
      <c r="AA7" s="13" t="s">
        <v>61</v>
      </c>
      <c r="AB7" s="38">
        <v>5</v>
      </c>
      <c r="AC7" s="14"/>
      <c r="AD7" s="31">
        <f>AVERAGE(V7:Z7)</f>
        <v>8.0139999999999993</v>
      </c>
      <c r="AE7" s="14"/>
      <c r="AF7" s="14"/>
      <c r="AG7" s="14"/>
      <c r="AH7" s="14"/>
      <c r="AI7" s="14"/>
      <c r="AJ7" s="33">
        <v>5</v>
      </c>
      <c r="AK7" s="14"/>
      <c r="AL7" s="5"/>
    </row>
    <row r="8" spans="1:38" s="23" customFormat="1" ht="27.95" customHeight="1">
      <c r="A8" s="4">
        <v>6</v>
      </c>
      <c r="B8" s="5"/>
      <c r="C8" s="50">
        <v>812023103006</v>
      </c>
      <c r="D8" s="12" t="s">
        <v>125</v>
      </c>
      <c r="E8" s="13" t="s">
        <v>45</v>
      </c>
      <c r="F8" s="39" t="s">
        <v>138</v>
      </c>
      <c r="G8" s="39" t="s">
        <v>147</v>
      </c>
      <c r="H8" s="42">
        <v>617115869692</v>
      </c>
      <c r="I8" s="39">
        <v>9344773797</v>
      </c>
      <c r="J8" s="43" t="s">
        <v>161</v>
      </c>
      <c r="K8" s="45" t="s">
        <v>175</v>
      </c>
      <c r="L8" s="42" t="s">
        <v>72</v>
      </c>
      <c r="M8" s="47" t="s">
        <v>195</v>
      </c>
      <c r="N8" s="14"/>
      <c r="O8" s="42">
        <v>9943605523</v>
      </c>
      <c r="P8" s="13" t="s">
        <v>60</v>
      </c>
      <c r="Q8" s="13" t="s">
        <v>60</v>
      </c>
      <c r="R8" s="13" t="s">
        <v>60</v>
      </c>
      <c r="S8" s="4"/>
      <c r="T8" s="7">
        <v>57</v>
      </c>
      <c r="U8" s="13" t="s">
        <v>64</v>
      </c>
      <c r="V8" s="29">
        <v>7.2</v>
      </c>
      <c r="W8" s="30">
        <v>7.58</v>
      </c>
      <c r="X8" s="29">
        <v>7.6</v>
      </c>
      <c r="Y8" s="30">
        <v>7.67</v>
      </c>
      <c r="Z8" s="31">
        <v>7.79</v>
      </c>
      <c r="AA8" s="13" t="s">
        <v>61</v>
      </c>
      <c r="AB8" s="38">
        <v>5</v>
      </c>
      <c r="AC8" s="14"/>
      <c r="AD8" s="31">
        <f>AVERAGE(V8:Z8)</f>
        <v>7.5680000000000005</v>
      </c>
      <c r="AE8" s="14"/>
      <c r="AF8" s="14"/>
      <c r="AG8" s="14"/>
      <c r="AH8" s="14"/>
      <c r="AI8" s="14"/>
      <c r="AJ8" s="33">
        <v>0</v>
      </c>
      <c r="AK8" s="14"/>
      <c r="AL8" s="5"/>
    </row>
    <row r="9" spans="1:38" s="23" customFormat="1" ht="27.95" customHeight="1">
      <c r="A9" s="4">
        <v>7</v>
      </c>
      <c r="B9" s="5"/>
      <c r="C9" s="50">
        <v>812023103007</v>
      </c>
      <c r="D9" s="12" t="s">
        <v>126</v>
      </c>
      <c r="E9" s="13" t="s">
        <v>45</v>
      </c>
      <c r="F9" s="39" t="s">
        <v>139</v>
      </c>
      <c r="G9" s="39" t="s">
        <v>148</v>
      </c>
      <c r="H9" s="42">
        <v>295017201228</v>
      </c>
      <c r="I9" s="39">
        <v>7092530107</v>
      </c>
      <c r="J9" s="43" t="s">
        <v>162</v>
      </c>
      <c r="K9" s="45" t="s">
        <v>176</v>
      </c>
      <c r="L9" s="42" t="s">
        <v>72</v>
      </c>
      <c r="M9" s="47" t="s">
        <v>196</v>
      </c>
      <c r="N9" s="14"/>
      <c r="O9" s="48">
        <v>9976578580</v>
      </c>
      <c r="P9" s="13" t="s">
        <v>60</v>
      </c>
      <c r="Q9" s="13" t="s">
        <v>60</v>
      </c>
      <c r="R9" s="13" t="s">
        <v>60</v>
      </c>
      <c r="S9" s="4"/>
      <c r="T9" s="7">
        <v>59</v>
      </c>
      <c r="U9" s="13" t="s">
        <v>64</v>
      </c>
      <c r="V9" s="29">
        <v>7.25</v>
      </c>
      <c r="W9" s="30">
        <v>8.8000000000000007</v>
      </c>
      <c r="X9" s="29">
        <v>6.83</v>
      </c>
      <c r="Y9" s="30">
        <v>8.11</v>
      </c>
      <c r="Z9" s="31">
        <v>7.91</v>
      </c>
      <c r="AA9" s="13" t="s">
        <v>61</v>
      </c>
      <c r="AB9" s="38">
        <v>11</v>
      </c>
      <c r="AC9" s="14"/>
      <c r="AD9" s="31">
        <f>AVERAGE(V9:Z9)</f>
        <v>7.7800000000000011</v>
      </c>
      <c r="AE9" s="14"/>
      <c r="AF9" s="14"/>
      <c r="AG9" s="14"/>
      <c r="AH9" s="14"/>
      <c r="AI9" s="14"/>
      <c r="AJ9" s="33">
        <v>1</v>
      </c>
      <c r="AK9" s="14"/>
      <c r="AL9" s="5"/>
    </row>
    <row r="10" spans="1:38" s="23" customFormat="1" ht="27.95" customHeight="1">
      <c r="A10" s="4">
        <v>8</v>
      </c>
      <c r="B10" s="5"/>
      <c r="C10" s="50">
        <v>812023103010</v>
      </c>
      <c r="D10" s="12" t="s">
        <v>127</v>
      </c>
      <c r="E10" s="13" t="s">
        <v>44</v>
      </c>
      <c r="F10" s="39" t="s">
        <v>140</v>
      </c>
      <c r="G10" s="39" t="s">
        <v>148</v>
      </c>
      <c r="H10" s="42">
        <v>370658083716</v>
      </c>
      <c r="I10" s="39" t="s">
        <v>152</v>
      </c>
      <c r="J10" s="43" t="s">
        <v>163</v>
      </c>
      <c r="K10" s="45" t="s">
        <v>177</v>
      </c>
      <c r="L10" s="42" t="s">
        <v>187</v>
      </c>
      <c r="M10" s="47" t="s">
        <v>197</v>
      </c>
      <c r="N10" s="14"/>
      <c r="O10" s="42">
        <v>8807683726</v>
      </c>
      <c r="P10" s="13" t="s">
        <v>60</v>
      </c>
      <c r="Q10" s="13" t="s">
        <v>60</v>
      </c>
      <c r="R10" s="13" t="s">
        <v>60</v>
      </c>
      <c r="S10" s="4"/>
      <c r="T10" s="7">
        <v>69</v>
      </c>
      <c r="U10" s="13" t="s">
        <v>64</v>
      </c>
      <c r="V10" s="29">
        <v>8.36</v>
      </c>
      <c r="W10" s="30">
        <v>8.48</v>
      </c>
      <c r="X10" s="29">
        <v>7.88</v>
      </c>
      <c r="Y10" s="30">
        <v>8.74</v>
      </c>
      <c r="Z10" s="31">
        <v>8.6999999999999993</v>
      </c>
      <c r="AA10" s="34" t="s">
        <v>64</v>
      </c>
      <c r="AB10" s="38">
        <v>0</v>
      </c>
      <c r="AC10" s="14"/>
      <c r="AD10" s="31">
        <f>AVERAGE(V10:Z10)</f>
        <v>8.4319999999999986</v>
      </c>
      <c r="AE10" s="14"/>
      <c r="AF10" s="14"/>
      <c r="AG10" s="14"/>
      <c r="AH10" s="14"/>
      <c r="AI10" s="14"/>
      <c r="AJ10" s="33">
        <v>1</v>
      </c>
      <c r="AK10" s="14"/>
      <c r="AL10" s="5"/>
    </row>
    <row r="11" spans="1:38" s="23" customFormat="1" ht="27.95" customHeight="1">
      <c r="A11" s="4">
        <v>9</v>
      </c>
      <c r="B11" s="5"/>
      <c r="C11" s="50">
        <v>812023103011</v>
      </c>
      <c r="D11" s="12" t="s">
        <v>128</v>
      </c>
      <c r="E11" s="13" t="s">
        <v>45</v>
      </c>
      <c r="F11" s="39" t="s">
        <v>141</v>
      </c>
      <c r="G11" s="39" t="s">
        <v>147</v>
      </c>
      <c r="H11" s="42">
        <v>318912385064</v>
      </c>
      <c r="I11" s="39" t="s">
        <v>153</v>
      </c>
      <c r="J11" s="43" t="s">
        <v>164</v>
      </c>
      <c r="K11" s="45" t="s">
        <v>178</v>
      </c>
      <c r="L11" s="42" t="s">
        <v>188</v>
      </c>
      <c r="M11" s="47" t="s">
        <v>198</v>
      </c>
      <c r="N11" s="14"/>
      <c r="O11" s="42" t="s">
        <v>204</v>
      </c>
      <c r="P11" s="13" t="s">
        <v>60</v>
      </c>
      <c r="Q11" s="13" t="s">
        <v>60</v>
      </c>
      <c r="R11" s="13" t="s">
        <v>60</v>
      </c>
      <c r="S11" s="4"/>
      <c r="T11" s="7">
        <v>58</v>
      </c>
      <c r="U11" s="13" t="s">
        <v>64</v>
      </c>
      <c r="V11" s="29">
        <v>7.67</v>
      </c>
      <c r="W11" s="30">
        <v>7.55</v>
      </c>
      <c r="X11" s="29">
        <v>7.86</v>
      </c>
      <c r="Y11" s="30">
        <v>7.84</v>
      </c>
      <c r="Z11" s="31">
        <v>8.36</v>
      </c>
      <c r="AA11" s="13" t="s">
        <v>61</v>
      </c>
      <c r="AB11" s="38">
        <v>8</v>
      </c>
      <c r="AC11" s="14"/>
      <c r="AD11" s="31">
        <f>AVERAGE(V11:Z11)</f>
        <v>7.8559999999999999</v>
      </c>
      <c r="AE11" s="14"/>
      <c r="AF11" s="14"/>
      <c r="AG11" s="14"/>
      <c r="AH11" s="14"/>
      <c r="AI11" s="14"/>
      <c r="AJ11" s="33">
        <v>0</v>
      </c>
      <c r="AK11" s="14"/>
      <c r="AL11" s="5"/>
    </row>
    <row r="12" spans="1:38" s="23" customFormat="1" ht="27.95" customHeight="1">
      <c r="A12" s="4">
        <v>10</v>
      </c>
      <c r="B12" s="5"/>
      <c r="C12" s="50">
        <v>812023103012</v>
      </c>
      <c r="D12" s="12" t="s">
        <v>129</v>
      </c>
      <c r="E12" s="13" t="s">
        <v>45</v>
      </c>
      <c r="F12" s="39" t="s">
        <v>142</v>
      </c>
      <c r="G12" s="39" t="s">
        <v>146</v>
      </c>
      <c r="H12" s="42">
        <v>925465418018</v>
      </c>
      <c r="I12" s="39" t="s">
        <v>154</v>
      </c>
      <c r="J12" s="43" t="s">
        <v>165</v>
      </c>
      <c r="K12" s="45" t="s">
        <v>179</v>
      </c>
      <c r="L12" s="42" t="s">
        <v>187</v>
      </c>
      <c r="M12" s="47" t="s">
        <v>199</v>
      </c>
      <c r="N12" s="14"/>
      <c r="O12" s="42">
        <v>9597822811</v>
      </c>
      <c r="P12" s="13" t="s">
        <v>60</v>
      </c>
      <c r="Q12" s="13" t="s">
        <v>60</v>
      </c>
      <c r="R12" s="13" t="s">
        <v>60</v>
      </c>
      <c r="S12" s="4"/>
      <c r="T12" s="7">
        <v>52</v>
      </c>
      <c r="U12" s="13" t="s">
        <v>64</v>
      </c>
      <c r="V12" s="13">
        <v>8.6</v>
      </c>
      <c r="W12" s="13">
        <v>9</v>
      </c>
      <c r="X12" s="29">
        <v>7.71</v>
      </c>
      <c r="Y12" s="30">
        <v>7.79</v>
      </c>
      <c r="Z12" s="31">
        <v>10</v>
      </c>
      <c r="AA12" s="13" t="s">
        <v>61</v>
      </c>
      <c r="AB12" s="38">
        <v>10</v>
      </c>
      <c r="AC12" s="14"/>
      <c r="AD12" s="31">
        <f>AVERAGE(V12:Z12)</f>
        <v>8.620000000000001</v>
      </c>
      <c r="AE12" s="14"/>
      <c r="AF12" s="14"/>
      <c r="AG12" s="14"/>
      <c r="AH12" s="14"/>
      <c r="AI12" s="14"/>
      <c r="AJ12" s="33">
        <v>5</v>
      </c>
      <c r="AK12" s="14"/>
      <c r="AL12" s="5"/>
    </row>
    <row r="13" spans="1:38" s="23" customFormat="1" ht="27.95" customHeight="1">
      <c r="A13" s="4">
        <v>11</v>
      </c>
      <c r="B13" s="5"/>
      <c r="C13" s="50">
        <v>812023103013</v>
      </c>
      <c r="D13" s="12" t="s">
        <v>130</v>
      </c>
      <c r="E13" s="13" t="s">
        <v>45</v>
      </c>
      <c r="F13" s="39" t="s">
        <v>143</v>
      </c>
      <c r="G13" s="39" t="s">
        <v>148</v>
      </c>
      <c r="H13" s="42">
        <v>206378690793</v>
      </c>
      <c r="I13" s="39">
        <v>9342336848</v>
      </c>
      <c r="J13" s="43" t="s">
        <v>166</v>
      </c>
      <c r="K13" s="45" t="s">
        <v>180</v>
      </c>
      <c r="L13" s="43" t="s">
        <v>189</v>
      </c>
      <c r="M13" s="46" t="s">
        <v>200</v>
      </c>
      <c r="N13" s="14"/>
      <c r="O13" s="42">
        <v>9566348750</v>
      </c>
      <c r="P13" s="13" t="s">
        <v>60</v>
      </c>
      <c r="Q13" s="13" t="s">
        <v>60</v>
      </c>
      <c r="R13" s="13" t="s">
        <v>60</v>
      </c>
      <c r="S13" s="4"/>
      <c r="T13" s="7">
        <v>66.16</v>
      </c>
      <c r="U13" s="13" t="s">
        <v>64</v>
      </c>
      <c r="V13" s="13">
        <v>7.55</v>
      </c>
      <c r="W13" s="13">
        <v>8.17</v>
      </c>
      <c r="X13" s="29">
        <v>7.38</v>
      </c>
      <c r="Y13" s="30">
        <v>7.91</v>
      </c>
      <c r="Z13" s="31">
        <v>7.9</v>
      </c>
      <c r="AA13" s="13" t="s">
        <v>61</v>
      </c>
      <c r="AB13" s="38">
        <v>1</v>
      </c>
      <c r="AC13" s="14"/>
      <c r="AD13" s="31">
        <f>AVERAGE(V13:Z13)</f>
        <v>7.7819999999999991</v>
      </c>
      <c r="AE13" s="14"/>
      <c r="AF13" s="14"/>
      <c r="AG13" s="14"/>
      <c r="AH13" s="14"/>
      <c r="AI13" s="14"/>
      <c r="AJ13" s="33">
        <v>0</v>
      </c>
      <c r="AK13" s="14"/>
      <c r="AL13" s="5"/>
    </row>
    <row r="14" spans="1:38" s="23" customFormat="1" ht="27.95" customHeight="1">
      <c r="A14" s="4">
        <v>12</v>
      </c>
      <c r="B14" s="5"/>
      <c r="C14" s="50">
        <v>812023103014</v>
      </c>
      <c r="D14" s="12" t="s">
        <v>131</v>
      </c>
      <c r="E14" s="13" t="s">
        <v>44</v>
      </c>
      <c r="F14" s="39" t="s">
        <v>144</v>
      </c>
      <c r="G14" s="39" t="s">
        <v>146</v>
      </c>
      <c r="H14" s="42">
        <v>702752010689</v>
      </c>
      <c r="I14" s="39">
        <v>9360151830</v>
      </c>
      <c r="J14" s="43" t="s">
        <v>167</v>
      </c>
      <c r="K14" s="45" t="s">
        <v>181</v>
      </c>
      <c r="L14" s="42" t="s">
        <v>72</v>
      </c>
      <c r="M14" s="46" t="s">
        <v>201</v>
      </c>
      <c r="N14" s="14"/>
      <c r="O14" s="42">
        <v>7868871476</v>
      </c>
      <c r="P14" s="13" t="s">
        <v>60</v>
      </c>
      <c r="Q14" s="13" t="s">
        <v>60</v>
      </c>
      <c r="R14" s="13" t="s">
        <v>60</v>
      </c>
      <c r="S14" s="4"/>
      <c r="T14" s="7">
        <v>44</v>
      </c>
      <c r="U14" s="13" t="s">
        <v>64</v>
      </c>
      <c r="V14" s="13">
        <v>7.83</v>
      </c>
      <c r="W14" s="13">
        <v>8.2200000000000006</v>
      </c>
      <c r="X14" s="29">
        <v>7.71</v>
      </c>
      <c r="Y14" s="30">
        <v>9</v>
      </c>
      <c r="Z14" s="31">
        <v>8.07</v>
      </c>
      <c r="AA14" s="13" t="s">
        <v>61</v>
      </c>
      <c r="AB14" s="38">
        <v>18</v>
      </c>
      <c r="AC14" s="14"/>
      <c r="AD14" s="31">
        <f>AVERAGE(V14:Z14)</f>
        <v>8.1660000000000004</v>
      </c>
      <c r="AE14" s="14"/>
      <c r="AF14" s="14"/>
      <c r="AG14" s="14"/>
      <c r="AH14" s="14"/>
      <c r="AI14" s="14"/>
      <c r="AJ14" s="33">
        <v>9</v>
      </c>
      <c r="AK14" s="14"/>
      <c r="AL14" s="5"/>
    </row>
    <row r="15" spans="1:38" s="23" customFormat="1" ht="27.95" customHeight="1">
      <c r="A15" s="4">
        <v>13</v>
      </c>
      <c r="B15" s="14"/>
      <c r="C15" s="50">
        <v>812023103016</v>
      </c>
      <c r="D15" s="12" t="s">
        <v>132</v>
      </c>
      <c r="E15" s="13" t="s">
        <v>44</v>
      </c>
      <c r="F15" s="40">
        <v>38928</v>
      </c>
      <c r="G15" s="39" t="s">
        <v>147</v>
      </c>
      <c r="H15" s="42">
        <v>482867487823</v>
      </c>
      <c r="I15" s="39" t="s">
        <v>155</v>
      </c>
      <c r="J15" s="43" t="s">
        <v>168</v>
      </c>
      <c r="K15" s="45" t="s">
        <v>182</v>
      </c>
      <c r="L15" s="42" t="s">
        <v>187</v>
      </c>
      <c r="M15" s="46" t="s">
        <v>202</v>
      </c>
      <c r="N15" s="14"/>
      <c r="O15" s="42">
        <v>8270509332</v>
      </c>
      <c r="P15" s="13" t="s">
        <v>60</v>
      </c>
      <c r="Q15" s="13" t="s">
        <v>60</v>
      </c>
      <c r="R15" s="13" t="s">
        <v>60</v>
      </c>
      <c r="S15" s="13"/>
      <c r="T15" s="25">
        <v>63.5</v>
      </c>
      <c r="U15" s="13" t="s">
        <v>64</v>
      </c>
      <c r="V15" s="13">
        <v>7.53</v>
      </c>
      <c r="W15" s="13">
        <v>8.06</v>
      </c>
      <c r="X15" s="29">
        <v>7.38</v>
      </c>
      <c r="Y15" s="30">
        <v>8.2100000000000009</v>
      </c>
      <c r="Z15" s="31">
        <v>7.75</v>
      </c>
      <c r="AA15" s="13" t="s">
        <v>61</v>
      </c>
      <c r="AB15" s="38">
        <v>2</v>
      </c>
      <c r="AC15" s="14"/>
      <c r="AD15" s="31">
        <f>AVERAGE(V15:Z15)</f>
        <v>7.7859999999999996</v>
      </c>
      <c r="AE15" s="14"/>
      <c r="AF15" s="14"/>
      <c r="AG15" s="14"/>
      <c r="AH15" s="14"/>
      <c r="AI15" s="14"/>
      <c r="AJ15" s="33">
        <v>9</v>
      </c>
      <c r="AK15" s="14"/>
      <c r="AL15" s="5"/>
    </row>
    <row r="16" spans="1:38" s="23" customFormat="1" ht="27.95" customHeight="1">
      <c r="A16" s="4">
        <v>14</v>
      </c>
      <c r="B16" s="14"/>
      <c r="C16" s="50">
        <v>812023103701</v>
      </c>
      <c r="D16" s="12" t="s">
        <v>133</v>
      </c>
      <c r="E16" s="13" t="s">
        <v>44</v>
      </c>
      <c r="F16" s="41" t="s">
        <v>145</v>
      </c>
      <c r="G16" s="39" t="s">
        <v>148</v>
      </c>
      <c r="H16" s="42">
        <v>696349968439</v>
      </c>
      <c r="I16" s="41">
        <v>6385444343</v>
      </c>
      <c r="J16" s="26" t="s">
        <v>169</v>
      </c>
      <c r="K16" s="41" t="s">
        <v>183</v>
      </c>
      <c r="L16" s="42" t="s">
        <v>72</v>
      </c>
      <c r="M16" s="46" t="s">
        <v>203</v>
      </c>
      <c r="N16" s="14"/>
      <c r="O16" s="49">
        <v>9786321735</v>
      </c>
      <c r="P16" s="13" t="s">
        <v>60</v>
      </c>
      <c r="Q16" s="13" t="s">
        <v>60</v>
      </c>
      <c r="R16" s="13" t="s">
        <v>60</v>
      </c>
      <c r="S16" s="13"/>
      <c r="T16" s="25">
        <v>67.7</v>
      </c>
      <c r="U16" s="13" t="s">
        <v>64</v>
      </c>
      <c r="V16" s="13">
        <v>8.14</v>
      </c>
      <c r="W16" s="13">
        <v>8.1300000000000008</v>
      </c>
      <c r="X16" s="29">
        <v>7.5</v>
      </c>
      <c r="Y16" s="30">
        <v>8.43</v>
      </c>
      <c r="Z16" s="31">
        <v>8.0500000000000007</v>
      </c>
      <c r="AA16" s="13" t="s">
        <v>61</v>
      </c>
      <c r="AB16" s="38">
        <v>1</v>
      </c>
      <c r="AC16" s="14"/>
      <c r="AD16" s="31">
        <f>AVERAGE(V16:Z16)</f>
        <v>8.0500000000000007</v>
      </c>
      <c r="AE16" s="14"/>
      <c r="AF16" s="14"/>
      <c r="AG16" s="14"/>
      <c r="AH16" s="14"/>
      <c r="AI16" s="14"/>
      <c r="AJ16" s="33">
        <v>11</v>
      </c>
      <c r="AK16" s="14"/>
      <c r="AL16" s="5"/>
    </row>
    <row r="17" spans="1:29" ht="27.95" customHeight="1">
      <c r="A17" s="1"/>
      <c r="B17" s="1"/>
      <c r="C17" s="36"/>
      <c r="D17" s="1"/>
      <c r="E17" s="1"/>
      <c r="F17" s="2"/>
      <c r="G17" s="1"/>
      <c r="H17" s="1"/>
      <c r="I17" s="3"/>
      <c r="J17" s="2"/>
      <c r="K17" s="2"/>
      <c r="L17" s="2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1"/>
      <c r="C18" s="36"/>
      <c r="D18" s="1"/>
      <c r="E18" s="1"/>
      <c r="F18" s="2"/>
      <c r="G18" s="1"/>
      <c r="H18" s="1"/>
      <c r="I18" s="3"/>
      <c r="J18" s="1"/>
      <c r="K18" s="1"/>
      <c r="L18" s="1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1"/>
      <c r="C19" s="36"/>
      <c r="D19" s="1"/>
      <c r="E19" s="1"/>
      <c r="F19" s="2"/>
      <c r="G19" s="1"/>
      <c r="H19" s="1"/>
      <c r="I19" s="3"/>
      <c r="J19" s="1"/>
      <c r="K19" s="1"/>
      <c r="L19" s="1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/>
      <c r="B20" s="1"/>
      <c r="C20" s="36"/>
      <c r="D20" s="1"/>
      <c r="E20" s="1"/>
      <c r="F20" s="2"/>
      <c r="G20" s="1"/>
      <c r="H20" s="1"/>
      <c r="I20" s="3"/>
      <c r="J20" s="1"/>
      <c r="K20" s="1"/>
      <c r="L20" s="1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36"/>
      <c r="D21" s="1"/>
      <c r="E21" s="1"/>
      <c r="F21" s="2"/>
      <c r="G21" s="1"/>
      <c r="H21" s="1"/>
      <c r="I21" s="3"/>
      <c r="J21" s="1"/>
      <c r="K21" s="1"/>
      <c r="L21" s="1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36"/>
      <c r="D22" s="1"/>
      <c r="E22" s="1"/>
      <c r="F22" s="2"/>
      <c r="G22" s="1"/>
      <c r="H22" s="1"/>
      <c r="I22" s="3"/>
      <c r="J22" s="1"/>
      <c r="K22" s="1"/>
      <c r="L22" s="1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36"/>
      <c r="D23" s="1"/>
      <c r="E23" s="1"/>
      <c r="F23" s="2"/>
      <c r="G23" s="1"/>
      <c r="H23" s="1"/>
      <c r="I23" s="3"/>
      <c r="J23" s="1"/>
      <c r="K23" s="1"/>
      <c r="L23" s="1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36"/>
      <c r="D24" s="1"/>
      <c r="E24" s="1"/>
      <c r="F24" s="2"/>
      <c r="G24" s="1"/>
      <c r="H24" s="1"/>
      <c r="I24" s="3"/>
      <c r="J24" s="1"/>
      <c r="K24" s="1"/>
      <c r="L24" s="1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36"/>
      <c r="D25" s="1"/>
      <c r="E25" s="1"/>
      <c r="F25" s="2"/>
      <c r="G25" s="1"/>
      <c r="H25" s="1"/>
      <c r="I25" s="3"/>
      <c r="J25" s="1"/>
      <c r="K25" s="1"/>
      <c r="L25" s="1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36"/>
      <c r="D26" s="1"/>
      <c r="E26" s="1"/>
      <c r="F26" s="2"/>
      <c r="G26" s="1"/>
      <c r="H26" s="1"/>
      <c r="I26" s="3"/>
      <c r="J26" s="1"/>
      <c r="K26" s="1"/>
      <c r="L26" s="1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36"/>
      <c r="D27" s="1"/>
      <c r="E27" s="1"/>
      <c r="F27" s="2"/>
      <c r="G27" s="1"/>
      <c r="H27" s="1"/>
      <c r="I27" s="3"/>
      <c r="J27" s="1"/>
      <c r="K27" s="1"/>
      <c r="L27" s="1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36"/>
      <c r="D28" s="1"/>
      <c r="E28" s="1"/>
      <c r="F28" s="2"/>
      <c r="G28" s="1"/>
      <c r="H28" s="1"/>
      <c r="I28" s="3"/>
      <c r="J28" s="1"/>
      <c r="K28" s="1"/>
      <c r="L28" s="1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36"/>
      <c r="D29" s="1"/>
      <c r="E29" s="1"/>
      <c r="F29" s="2"/>
      <c r="G29" s="1"/>
      <c r="H29" s="1"/>
      <c r="I29" s="3"/>
      <c r="J29" s="1"/>
      <c r="K29" s="1"/>
      <c r="L29" s="1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36"/>
      <c r="D30" s="1"/>
      <c r="E30" s="1"/>
      <c r="F30" s="2"/>
      <c r="G30" s="1"/>
      <c r="H30" s="1"/>
      <c r="I30" s="3"/>
      <c r="J30" s="1"/>
      <c r="K30" s="1"/>
      <c r="L30" s="1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36"/>
      <c r="D31" s="1"/>
      <c r="E31" s="1"/>
      <c r="F31" s="2"/>
      <c r="G31" s="1"/>
      <c r="H31" s="1"/>
      <c r="I31" s="3"/>
      <c r="J31" s="1"/>
      <c r="K31" s="1"/>
      <c r="L31" s="1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36"/>
      <c r="D32" s="1"/>
      <c r="E32" s="1"/>
      <c r="F32" s="2"/>
      <c r="G32" s="1"/>
      <c r="H32" s="1"/>
      <c r="I32" s="3"/>
      <c r="J32" s="1"/>
      <c r="K32" s="1"/>
      <c r="L32" s="1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36"/>
      <c r="D33" s="1"/>
      <c r="E33" s="1"/>
      <c r="F33" s="2"/>
      <c r="G33" s="1"/>
      <c r="H33" s="1"/>
      <c r="I33" s="3"/>
      <c r="J33" s="1"/>
      <c r="K33" s="1"/>
      <c r="L33" s="1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36"/>
      <c r="D34" s="1"/>
      <c r="E34" s="1"/>
      <c r="F34" s="2"/>
      <c r="G34" s="1"/>
      <c r="H34" s="1"/>
      <c r="I34" s="3"/>
      <c r="J34" s="1"/>
      <c r="K34" s="1"/>
      <c r="L34" s="1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36"/>
      <c r="D35" s="1"/>
      <c r="E35" s="1"/>
      <c r="F35" s="2"/>
      <c r="G35" s="1"/>
      <c r="H35" s="1"/>
      <c r="I35" s="3"/>
      <c r="J35" s="1"/>
      <c r="K35" s="1"/>
      <c r="L35" s="1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36"/>
      <c r="D36" s="1"/>
      <c r="E36" s="1"/>
      <c r="F36" s="2"/>
      <c r="G36" s="1"/>
      <c r="H36" s="1"/>
      <c r="I36" s="3"/>
      <c r="J36" s="1"/>
      <c r="K36" s="1"/>
      <c r="L36" s="1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36"/>
      <c r="D37" s="1"/>
      <c r="E37" s="1"/>
      <c r="F37" s="2"/>
      <c r="G37" s="1"/>
      <c r="H37" s="1"/>
      <c r="I37" s="3"/>
      <c r="J37" s="1"/>
      <c r="K37" s="1"/>
      <c r="L37" s="1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36"/>
      <c r="D38" s="1"/>
      <c r="E38" s="1"/>
      <c r="F38" s="2"/>
      <c r="G38" s="1"/>
      <c r="H38" s="1"/>
      <c r="I38" s="3"/>
      <c r="J38" s="1"/>
      <c r="K38" s="1"/>
      <c r="L38" s="1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36"/>
      <c r="D39" s="1"/>
      <c r="E39" s="1"/>
      <c r="F39" s="2"/>
      <c r="G39" s="1"/>
      <c r="H39" s="1"/>
      <c r="I39" s="3"/>
      <c r="J39" s="1"/>
      <c r="K39" s="1"/>
      <c r="L39" s="1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36"/>
      <c r="D40" s="1"/>
      <c r="E40" s="1"/>
      <c r="F40" s="2"/>
      <c r="G40" s="1"/>
      <c r="H40" s="1"/>
      <c r="I40" s="3"/>
      <c r="J40" s="1"/>
      <c r="K40" s="1"/>
      <c r="L40" s="1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36"/>
      <c r="D41" s="1"/>
      <c r="E41" s="1"/>
      <c r="F41" s="2"/>
      <c r="G41" s="1"/>
      <c r="H41" s="1"/>
      <c r="I41" s="3"/>
      <c r="J41" s="1"/>
      <c r="K41" s="1"/>
      <c r="L41" s="1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36"/>
      <c r="D42" s="1"/>
      <c r="E42" s="1"/>
      <c r="F42" s="2"/>
      <c r="G42" s="1"/>
      <c r="H42" s="1"/>
      <c r="I42" s="3"/>
      <c r="J42" s="1"/>
      <c r="K42" s="1"/>
      <c r="L42" s="1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36"/>
      <c r="D43" s="1"/>
      <c r="E43" s="1"/>
      <c r="F43" s="2"/>
      <c r="G43" s="1"/>
      <c r="H43" s="1"/>
      <c r="I43" s="3"/>
      <c r="J43" s="1"/>
      <c r="K43" s="1"/>
      <c r="L43" s="1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36"/>
      <c r="D44" s="1"/>
      <c r="E44" s="1"/>
      <c r="F44" s="2"/>
      <c r="G44" s="1"/>
      <c r="H44" s="1"/>
      <c r="I44" s="3"/>
      <c r="J44" s="1"/>
      <c r="K44" s="1"/>
      <c r="L44" s="1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36"/>
      <c r="D45" s="1"/>
      <c r="E45" s="1"/>
      <c r="F45" s="2"/>
      <c r="G45" s="1"/>
      <c r="H45" s="1"/>
      <c r="I45" s="3"/>
      <c r="J45" s="1"/>
      <c r="K45" s="1"/>
      <c r="L45" s="1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36"/>
      <c r="D46" s="1"/>
      <c r="E46" s="1"/>
      <c r="F46" s="2"/>
      <c r="G46" s="1"/>
      <c r="H46" s="1"/>
      <c r="I46" s="3"/>
      <c r="J46" s="1"/>
      <c r="K46" s="1"/>
      <c r="L46" s="1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36"/>
      <c r="D47" s="1"/>
      <c r="E47" s="1"/>
      <c r="F47" s="2"/>
      <c r="G47" s="1"/>
      <c r="H47" s="1"/>
      <c r="I47" s="3"/>
      <c r="J47" s="1"/>
      <c r="K47" s="1"/>
      <c r="L47" s="1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36"/>
      <c r="D48" s="1"/>
      <c r="E48" s="1"/>
      <c r="F48" s="2"/>
      <c r="G48" s="1"/>
      <c r="H48" s="1"/>
      <c r="I48" s="3"/>
      <c r="J48" s="1"/>
      <c r="K48" s="1"/>
      <c r="L48" s="1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36"/>
      <c r="D49" s="1"/>
      <c r="E49" s="1"/>
      <c r="F49" s="2"/>
      <c r="G49" s="1"/>
      <c r="H49" s="1"/>
      <c r="I49" s="3"/>
      <c r="J49" s="1"/>
      <c r="K49" s="1"/>
      <c r="L49" s="1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36"/>
      <c r="D50" s="1"/>
      <c r="E50" s="1"/>
      <c r="F50" s="2"/>
      <c r="G50" s="1"/>
      <c r="H50" s="1"/>
      <c r="I50" s="3"/>
      <c r="J50" s="1"/>
      <c r="K50" s="1"/>
      <c r="L50" s="1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36"/>
      <c r="D51" s="1"/>
      <c r="E51" s="1"/>
      <c r="F51" s="2"/>
      <c r="G51" s="1"/>
      <c r="H51" s="1"/>
      <c r="I51" s="3"/>
      <c r="J51" s="1"/>
      <c r="K51" s="1"/>
      <c r="L51" s="1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36"/>
      <c r="D52" s="1"/>
      <c r="E52" s="1"/>
      <c r="F52" s="2"/>
      <c r="G52" s="1"/>
      <c r="H52" s="1"/>
      <c r="I52" s="3"/>
      <c r="J52" s="1"/>
      <c r="K52" s="1"/>
      <c r="L52" s="1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36"/>
      <c r="D53" s="1"/>
      <c r="E53" s="1"/>
      <c r="F53" s="2"/>
      <c r="G53" s="1"/>
      <c r="H53" s="1"/>
      <c r="I53" s="3"/>
      <c r="J53" s="1"/>
      <c r="K53" s="1"/>
      <c r="L53" s="1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36"/>
      <c r="D54" s="1"/>
      <c r="E54" s="1"/>
      <c r="F54" s="2"/>
      <c r="G54" s="1"/>
      <c r="H54" s="1"/>
      <c r="I54" s="3"/>
      <c r="J54" s="1"/>
      <c r="K54" s="1"/>
      <c r="L54" s="1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36"/>
      <c r="D55" s="1"/>
      <c r="E55" s="1"/>
      <c r="F55" s="2"/>
      <c r="G55" s="1"/>
      <c r="H55" s="1"/>
      <c r="I55" s="3"/>
      <c r="J55" s="1"/>
      <c r="K55" s="1"/>
      <c r="L55" s="1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36"/>
      <c r="D56" s="1"/>
      <c r="E56" s="1"/>
      <c r="F56" s="2"/>
      <c r="G56" s="1"/>
      <c r="H56" s="1"/>
      <c r="I56" s="3"/>
      <c r="J56" s="1"/>
      <c r="K56" s="1"/>
      <c r="L56" s="1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36"/>
      <c r="D57" s="1"/>
      <c r="E57" s="1"/>
      <c r="F57" s="2"/>
      <c r="G57" s="1"/>
      <c r="H57" s="1"/>
      <c r="I57" s="3"/>
      <c r="J57" s="1"/>
      <c r="K57" s="1"/>
      <c r="L57" s="1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36"/>
      <c r="D58" s="1"/>
      <c r="E58" s="1"/>
      <c r="F58" s="2"/>
      <c r="G58" s="1"/>
      <c r="H58" s="1"/>
      <c r="I58" s="3"/>
      <c r="J58" s="1"/>
      <c r="K58" s="1"/>
      <c r="L58" s="1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36"/>
      <c r="D59" s="1"/>
      <c r="E59" s="1"/>
      <c r="F59" s="2"/>
      <c r="G59" s="1"/>
      <c r="H59" s="1"/>
      <c r="I59" s="3"/>
      <c r="J59" s="1"/>
      <c r="K59" s="1"/>
      <c r="L59" s="1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36"/>
      <c r="D60" s="1"/>
      <c r="E60" s="1"/>
      <c r="F60" s="2"/>
      <c r="G60" s="1"/>
      <c r="H60" s="1"/>
      <c r="I60" s="3"/>
      <c r="J60" s="1"/>
      <c r="K60" s="1"/>
      <c r="L60" s="1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36"/>
      <c r="D61" s="1"/>
      <c r="E61" s="1"/>
      <c r="F61" s="2"/>
      <c r="G61" s="1"/>
      <c r="H61" s="1"/>
      <c r="I61" s="3"/>
      <c r="J61" s="1"/>
      <c r="K61" s="1"/>
      <c r="L61" s="1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36"/>
      <c r="D62" s="1"/>
      <c r="E62" s="1"/>
      <c r="F62" s="2"/>
      <c r="G62" s="1"/>
      <c r="H62" s="1"/>
      <c r="I62" s="3"/>
      <c r="J62" s="1"/>
      <c r="K62" s="1"/>
      <c r="L62" s="1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36"/>
      <c r="D63" s="1"/>
      <c r="E63" s="1"/>
      <c r="F63" s="2"/>
      <c r="G63" s="1"/>
      <c r="H63" s="1"/>
      <c r="I63" s="3"/>
      <c r="J63" s="1"/>
      <c r="K63" s="1"/>
      <c r="L63" s="1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36"/>
      <c r="D64" s="1"/>
      <c r="E64" s="1"/>
      <c r="F64" s="2"/>
      <c r="G64" s="1"/>
      <c r="H64" s="1"/>
      <c r="I64" s="3"/>
      <c r="J64" s="1"/>
      <c r="K64" s="1"/>
      <c r="L64" s="1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36"/>
      <c r="D65" s="1"/>
      <c r="E65" s="1"/>
      <c r="F65" s="2"/>
      <c r="G65" s="1"/>
      <c r="H65" s="1"/>
      <c r="I65" s="3"/>
      <c r="J65" s="1"/>
      <c r="K65" s="1"/>
      <c r="L65" s="1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36"/>
      <c r="D66" s="1"/>
      <c r="E66" s="1"/>
      <c r="F66" s="2"/>
      <c r="G66" s="1"/>
      <c r="H66" s="1"/>
      <c r="I66" s="3"/>
      <c r="J66" s="1"/>
      <c r="K66" s="1"/>
      <c r="L66" s="1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36"/>
      <c r="D67" s="1"/>
      <c r="E67" s="1"/>
      <c r="F67" s="2"/>
      <c r="G67" s="1"/>
      <c r="H67" s="1"/>
      <c r="I67" s="3"/>
      <c r="J67" s="1"/>
      <c r="K67" s="1"/>
      <c r="L67" s="1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36"/>
      <c r="D68" s="1"/>
      <c r="E68" s="1"/>
      <c r="F68" s="2"/>
      <c r="G68" s="1"/>
      <c r="H68" s="1"/>
      <c r="I68" s="3"/>
      <c r="J68" s="1"/>
      <c r="K68" s="1"/>
      <c r="L68" s="1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36"/>
      <c r="D69" s="1"/>
      <c r="E69" s="1"/>
      <c r="F69" s="2"/>
      <c r="G69" s="1"/>
      <c r="H69" s="1"/>
      <c r="I69" s="3"/>
      <c r="J69" s="1"/>
      <c r="K69" s="1"/>
      <c r="L69" s="1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36"/>
      <c r="D70" s="1"/>
      <c r="E70" s="1"/>
      <c r="F70" s="2"/>
      <c r="G70" s="1"/>
      <c r="H70" s="1"/>
      <c r="I70" s="3"/>
      <c r="J70" s="1"/>
      <c r="K70" s="1"/>
      <c r="L70" s="1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36"/>
      <c r="D71" s="1"/>
      <c r="E71" s="1"/>
      <c r="F71" s="2"/>
      <c r="G71" s="1"/>
      <c r="H71" s="1"/>
      <c r="I71" s="3"/>
      <c r="J71" s="1"/>
      <c r="K71" s="1"/>
      <c r="L71" s="1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36"/>
      <c r="D72" s="1"/>
      <c r="E72" s="1"/>
      <c r="F72" s="2"/>
      <c r="G72" s="1"/>
      <c r="H72" s="1"/>
      <c r="I72" s="3"/>
      <c r="J72" s="1"/>
      <c r="K72" s="1"/>
      <c r="L72" s="1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36"/>
      <c r="D73" s="1"/>
      <c r="E73" s="1"/>
      <c r="F73" s="2"/>
      <c r="G73" s="1"/>
      <c r="H73" s="1"/>
      <c r="I73" s="3"/>
      <c r="J73" s="1"/>
      <c r="K73" s="1"/>
      <c r="L73" s="1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36"/>
      <c r="D74" s="1"/>
      <c r="E74" s="1"/>
      <c r="F74" s="2"/>
      <c r="G74" s="1"/>
      <c r="H74" s="1"/>
      <c r="I74" s="3"/>
      <c r="J74" s="1"/>
      <c r="K74" s="1"/>
      <c r="L74" s="1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36"/>
      <c r="D75" s="1"/>
      <c r="E75" s="1"/>
      <c r="F75" s="2"/>
      <c r="G75" s="1"/>
      <c r="H75" s="1"/>
      <c r="I75" s="3"/>
      <c r="J75" s="1"/>
      <c r="K75" s="1"/>
      <c r="L75" s="1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36"/>
      <c r="D76" s="1"/>
      <c r="E76" s="1"/>
      <c r="F76" s="2"/>
      <c r="G76" s="1"/>
      <c r="H76" s="1"/>
      <c r="I76" s="3"/>
      <c r="J76" s="1"/>
      <c r="K76" s="1"/>
      <c r="L76" s="1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36"/>
      <c r="D77" s="1"/>
      <c r="E77" s="1"/>
      <c r="F77" s="2"/>
      <c r="G77" s="1"/>
      <c r="H77" s="1"/>
      <c r="I77" s="3"/>
      <c r="J77" s="1"/>
      <c r="K77" s="1"/>
      <c r="L77" s="1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36"/>
      <c r="D78" s="1"/>
      <c r="E78" s="1"/>
      <c r="F78" s="2"/>
      <c r="G78" s="1"/>
      <c r="H78" s="1"/>
      <c r="I78" s="3"/>
      <c r="J78" s="1"/>
      <c r="K78" s="1"/>
      <c r="L78" s="1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36"/>
      <c r="D79" s="1"/>
      <c r="E79" s="1"/>
      <c r="F79" s="2"/>
      <c r="G79" s="1"/>
      <c r="H79" s="1"/>
      <c r="I79" s="3"/>
      <c r="J79" s="1"/>
      <c r="K79" s="1"/>
      <c r="L79" s="1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36"/>
      <c r="D80" s="1"/>
      <c r="E80" s="1"/>
      <c r="F80" s="2"/>
      <c r="G80" s="1"/>
      <c r="H80" s="1"/>
      <c r="I80" s="3"/>
      <c r="J80" s="1"/>
      <c r="K80" s="1"/>
      <c r="L80" s="1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36"/>
      <c r="D81" s="1"/>
      <c r="E81" s="1"/>
      <c r="F81" s="2"/>
      <c r="G81" s="1"/>
      <c r="H81" s="1"/>
      <c r="I81" s="3"/>
      <c r="J81" s="1"/>
      <c r="K81" s="1"/>
      <c r="L81" s="1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36"/>
      <c r="D82" s="1"/>
      <c r="E82" s="1"/>
      <c r="F82" s="2"/>
      <c r="G82" s="1"/>
      <c r="H82" s="1"/>
      <c r="I82" s="3"/>
      <c r="J82" s="1"/>
      <c r="K82" s="1"/>
      <c r="L82" s="1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36"/>
      <c r="D83" s="1"/>
      <c r="E83" s="1"/>
      <c r="F83" s="2"/>
      <c r="G83" s="1"/>
      <c r="H83" s="1"/>
      <c r="I83" s="3"/>
      <c r="J83" s="1"/>
      <c r="K83" s="1"/>
      <c r="L83" s="1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36"/>
      <c r="D84" s="1"/>
      <c r="E84" s="1"/>
      <c r="F84" s="2"/>
      <c r="G84" s="1"/>
      <c r="H84" s="1"/>
      <c r="I84" s="3"/>
      <c r="J84" s="1"/>
      <c r="K84" s="1"/>
      <c r="L84" s="1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36"/>
      <c r="D85" s="1"/>
      <c r="E85" s="1"/>
      <c r="F85" s="2"/>
      <c r="G85" s="1"/>
      <c r="H85" s="1"/>
      <c r="I85" s="3"/>
      <c r="J85" s="1"/>
      <c r="K85" s="1"/>
      <c r="L85" s="1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36"/>
      <c r="D86" s="1"/>
      <c r="E86" s="1"/>
      <c r="F86" s="2"/>
      <c r="G86" s="1"/>
      <c r="H86" s="1"/>
      <c r="I86" s="3"/>
      <c r="J86" s="1"/>
      <c r="K86" s="1"/>
      <c r="L86" s="1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36"/>
      <c r="D87" s="1"/>
      <c r="E87" s="1"/>
      <c r="F87" s="2"/>
      <c r="G87" s="1"/>
      <c r="H87" s="1"/>
      <c r="I87" s="3"/>
      <c r="J87" s="1"/>
      <c r="K87" s="1"/>
      <c r="L87" s="1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36"/>
      <c r="D88" s="1"/>
      <c r="E88" s="1"/>
      <c r="F88" s="2"/>
      <c r="G88" s="1"/>
      <c r="H88" s="1"/>
      <c r="I88" s="3"/>
      <c r="J88" s="1"/>
      <c r="K88" s="1"/>
      <c r="L88" s="1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36"/>
      <c r="D89" s="1"/>
      <c r="E89" s="1"/>
      <c r="F89" s="2"/>
      <c r="G89" s="1"/>
      <c r="H89" s="1"/>
      <c r="I89" s="3"/>
      <c r="J89" s="1"/>
      <c r="K89" s="1"/>
      <c r="L89" s="1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36"/>
      <c r="D90" s="1"/>
      <c r="E90" s="1"/>
      <c r="F90" s="2"/>
      <c r="G90" s="1"/>
      <c r="H90" s="1"/>
      <c r="I90" s="3"/>
      <c r="J90" s="1"/>
      <c r="K90" s="1"/>
      <c r="L90" s="1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36"/>
      <c r="D91" s="1"/>
      <c r="E91" s="1"/>
      <c r="F91" s="2"/>
      <c r="G91" s="1"/>
      <c r="H91" s="1"/>
      <c r="I91" s="3"/>
      <c r="J91" s="1"/>
      <c r="K91" s="1"/>
      <c r="L91" s="1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36"/>
      <c r="D92" s="1"/>
      <c r="E92" s="1"/>
      <c r="F92" s="2"/>
      <c r="G92" s="1"/>
      <c r="H92" s="1"/>
      <c r="I92" s="3"/>
      <c r="J92" s="1"/>
      <c r="K92" s="1"/>
      <c r="L92" s="1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36"/>
      <c r="D93" s="1"/>
      <c r="E93" s="1"/>
      <c r="F93" s="2"/>
      <c r="G93" s="1"/>
      <c r="H93" s="1"/>
      <c r="I93" s="3"/>
      <c r="J93" s="1"/>
      <c r="K93" s="1"/>
      <c r="L93" s="1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36"/>
      <c r="D94" s="1"/>
      <c r="E94" s="1"/>
      <c r="F94" s="2"/>
      <c r="G94" s="1"/>
      <c r="H94" s="1"/>
      <c r="I94" s="3"/>
      <c r="J94" s="1"/>
      <c r="K94" s="1"/>
      <c r="L94" s="1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36"/>
      <c r="D95" s="1"/>
      <c r="E95" s="1"/>
      <c r="F95" s="2"/>
      <c r="G95" s="1"/>
      <c r="H95" s="1"/>
      <c r="I95" s="3"/>
      <c r="J95" s="1"/>
      <c r="K95" s="1"/>
      <c r="L95" s="1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36"/>
      <c r="D96" s="1"/>
      <c r="E96" s="1"/>
      <c r="F96" s="2"/>
      <c r="G96" s="1"/>
      <c r="H96" s="1"/>
      <c r="I96" s="3"/>
      <c r="J96" s="1"/>
      <c r="K96" s="1"/>
      <c r="L96" s="1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36"/>
      <c r="D97" s="1"/>
      <c r="E97" s="1"/>
      <c r="F97" s="2"/>
      <c r="G97" s="1"/>
      <c r="H97" s="1"/>
      <c r="I97" s="3"/>
      <c r="J97" s="1"/>
      <c r="K97" s="1"/>
      <c r="L97" s="1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36"/>
      <c r="D98" s="1"/>
      <c r="E98" s="1"/>
      <c r="F98" s="2"/>
      <c r="G98" s="1"/>
      <c r="H98" s="1"/>
      <c r="I98" s="3"/>
      <c r="J98" s="1"/>
      <c r="K98" s="1"/>
      <c r="L98" s="1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36"/>
      <c r="D99" s="1"/>
      <c r="E99" s="1"/>
      <c r="F99" s="2"/>
      <c r="G99" s="1"/>
      <c r="H99" s="1"/>
      <c r="I99" s="3"/>
      <c r="J99" s="1"/>
      <c r="K99" s="1"/>
      <c r="L99" s="1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36"/>
      <c r="D100" s="1"/>
      <c r="E100" s="1"/>
      <c r="F100" s="2"/>
      <c r="G100" s="1"/>
      <c r="H100" s="1"/>
      <c r="I100" s="3"/>
      <c r="J100" s="1"/>
      <c r="K100" s="1"/>
      <c r="L100" s="1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</sheetData>
  <mergeCells count="36">
    <mergeCell ref="AI1:AI2"/>
    <mergeCell ref="AJ1:AJ2"/>
    <mergeCell ref="AK1:AL1"/>
    <mergeCell ref="AB1:AB2"/>
    <mergeCell ref="AC1:AC2"/>
    <mergeCell ref="AD1:AD2"/>
    <mergeCell ref="AE1:AE2"/>
    <mergeCell ref="AG1:AH1"/>
    <mergeCell ref="AA1:AA2"/>
    <mergeCell ref="AF1:AF2"/>
    <mergeCell ref="V1:V2"/>
    <mergeCell ref="W1:W2"/>
    <mergeCell ref="X1:X2"/>
    <mergeCell ref="Y1:Y2"/>
    <mergeCell ref="Z1:Z2"/>
    <mergeCell ref="U1:U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conditionalFormatting sqref="AD3:AD16 V3:W11 X3:Z16">
    <cfRule type="containsText" dxfId="2" priority="12" operator="containsText" text="AB">
      <formula>NOT(ISERROR(SEARCH(("AB"),(V3))))</formula>
    </cfRule>
  </conditionalFormatting>
  <conditionalFormatting sqref="AD3:AD16 V3:W11 X3:Z16">
    <cfRule type="containsText" dxfId="1" priority="11" operator="containsText" text="P">
      <formula>NOT(ISERROR(SEARCH(("P"),(V3))))</formula>
    </cfRule>
  </conditionalFormatting>
  <conditionalFormatting sqref="AD5 AD7 V5:Z5 V7:Z7">
    <cfRule type="containsText" dxfId="0" priority="10" operator="containsText" text="DO">
      <formula>NOT(ISERROR(SEARCH(("DO"),(V5))))</formula>
    </cfRule>
  </conditionalFormatting>
  <hyperlinks>
    <hyperlink ref="J16" r:id="rId1"/>
  </hyperlinks>
  <pageMargins left="0.196850393700787" right="0.196850393700787" top="0.23622047244094499" bottom="0.22" header="0" footer="0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9"/>
  <sheetViews>
    <sheetView workbookViewId="0">
      <selection activeCell="A11" sqref="A11"/>
    </sheetView>
  </sheetViews>
  <sheetFormatPr defaultRowHeight="15"/>
  <cols>
    <col min="3" max="3" width="13.140625" bestFit="1" customWidth="1"/>
    <col min="4" max="4" width="23.42578125" bestFit="1" customWidth="1"/>
    <col min="6" max="6" width="11.140625" customWidth="1"/>
    <col min="8" max="8" width="13.140625" bestFit="1" customWidth="1"/>
    <col min="9" max="9" width="11" bestFit="1" customWidth="1"/>
    <col min="10" max="10" width="32.85546875" bestFit="1" customWidth="1"/>
    <col min="11" max="11" width="16" bestFit="1" customWidth="1"/>
    <col min="12" max="12" width="18.85546875" bestFit="1" customWidth="1"/>
    <col min="13" max="13" width="43.85546875" customWidth="1"/>
    <col min="15" max="15" width="11.5703125" bestFit="1" customWidth="1"/>
  </cols>
  <sheetData>
    <row r="1" spans="1:38" s="15" customFormat="1" ht="38.25" customHeight="1">
      <c r="A1" s="53" t="s">
        <v>0</v>
      </c>
      <c r="B1" s="55" t="s">
        <v>1</v>
      </c>
      <c r="C1" s="57" t="s">
        <v>2</v>
      </c>
      <c r="D1" s="55" t="s">
        <v>3</v>
      </c>
      <c r="E1" s="53" t="s">
        <v>4</v>
      </c>
      <c r="F1" s="51" t="s">
        <v>5</v>
      </c>
      <c r="G1" s="53" t="s">
        <v>6</v>
      </c>
      <c r="H1" s="53" t="s">
        <v>7</v>
      </c>
      <c r="I1" s="53" t="s">
        <v>8</v>
      </c>
      <c r="J1" s="55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27</v>
      </c>
      <c r="T1" s="53" t="s">
        <v>28</v>
      </c>
      <c r="U1" s="59" t="s">
        <v>18</v>
      </c>
      <c r="V1" s="64" t="s">
        <v>19</v>
      </c>
      <c r="W1" s="64" t="s">
        <v>20</v>
      </c>
      <c r="X1" s="64" t="s">
        <v>21</v>
      </c>
      <c r="Y1" s="66" t="s">
        <v>22</v>
      </c>
      <c r="Z1" s="53" t="s">
        <v>23</v>
      </c>
      <c r="AA1" s="53" t="s">
        <v>24</v>
      </c>
      <c r="AB1" s="53" t="s">
        <v>25</v>
      </c>
      <c r="AC1" s="71" t="s">
        <v>26</v>
      </c>
      <c r="AD1" s="73" t="s">
        <v>109</v>
      </c>
      <c r="AE1" s="62" t="s">
        <v>110</v>
      </c>
      <c r="AF1" s="62" t="s">
        <v>111</v>
      </c>
      <c r="AG1" s="75" t="s">
        <v>112</v>
      </c>
      <c r="AH1" s="76"/>
      <c r="AI1" s="62" t="s">
        <v>113</v>
      </c>
      <c r="AJ1" s="62" t="s">
        <v>114</v>
      </c>
      <c r="AK1" s="69" t="s">
        <v>118</v>
      </c>
      <c r="AL1" s="70"/>
    </row>
    <row r="2" spans="1:38" s="15" customFormat="1" ht="12.75">
      <c r="A2" s="54"/>
      <c r="B2" s="56"/>
      <c r="C2" s="58"/>
      <c r="D2" s="56"/>
      <c r="E2" s="54"/>
      <c r="F2" s="52"/>
      <c r="G2" s="54"/>
      <c r="H2" s="54"/>
      <c r="I2" s="54"/>
      <c r="J2" s="56"/>
      <c r="K2" s="54"/>
      <c r="L2" s="54"/>
      <c r="M2" s="54"/>
      <c r="N2" s="54"/>
      <c r="O2" s="54"/>
      <c r="P2" s="54"/>
      <c r="Q2" s="61"/>
      <c r="R2" s="61"/>
      <c r="S2" s="61"/>
      <c r="T2" s="61"/>
      <c r="U2" s="60"/>
      <c r="V2" s="65"/>
      <c r="W2" s="65"/>
      <c r="X2" s="65"/>
      <c r="Y2" s="67"/>
      <c r="Z2" s="61"/>
      <c r="AA2" s="61"/>
      <c r="AB2" s="61"/>
      <c r="AC2" s="72"/>
      <c r="AD2" s="74"/>
      <c r="AE2" s="63"/>
      <c r="AF2" s="63"/>
      <c r="AG2" s="28" t="s">
        <v>116</v>
      </c>
      <c r="AH2" s="28" t="s">
        <v>117</v>
      </c>
      <c r="AI2" s="63"/>
      <c r="AJ2" s="68"/>
      <c r="AK2" s="28" t="s">
        <v>115</v>
      </c>
      <c r="AL2" s="28" t="s">
        <v>119</v>
      </c>
    </row>
    <row r="3" spans="1:38" s="23" customFormat="1" ht="27.95" customHeight="1">
      <c r="A3" s="4">
        <v>1</v>
      </c>
      <c r="B3" s="5"/>
      <c r="C3" s="6">
        <v>812020103001</v>
      </c>
      <c r="D3" s="12" t="s">
        <v>29</v>
      </c>
      <c r="E3" s="13" t="s">
        <v>44</v>
      </c>
      <c r="F3" s="18">
        <v>36663</v>
      </c>
      <c r="G3" s="13" t="s">
        <v>66</v>
      </c>
      <c r="H3" s="19">
        <v>324111206622</v>
      </c>
      <c r="I3" s="20">
        <v>8438730182</v>
      </c>
      <c r="J3" s="21" t="s">
        <v>46</v>
      </c>
      <c r="K3" s="17" t="s">
        <v>69</v>
      </c>
      <c r="L3" s="17" t="s">
        <v>70</v>
      </c>
      <c r="M3" s="22" t="s">
        <v>90</v>
      </c>
      <c r="N3" s="14"/>
      <c r="O3" s="17">
        <v>7418345018</v>
      </c>
      <c r="P3" s="13" t="s">
        <v>60</v>
      </c>
      <c r="Q3" s="13" t="s">
        <v>60</v>
      </c>
      <c r="R3" s="13" t="s">
        <v>60</v>
      </c>
      <c r="S3" s="4">
        <v>78.599999999999994</v>
      </c>
      <c r="T3" s="7">
        <v>55.916666666666664</v>
      </c>
      <c r="U3" s="13" t="s">
        <v>63</v>
      </c>
      <c r="V3" s="29">
        <v>7.82</v>
      </c>
      <c r="W3" s="30">
        <v>8.68</v>
      </c>
      <c r="X3" s="29">
        <v>9.25</v>
      </c>
      <c r="Y3" s="30">
        <v>7.75</v>
      </c>
      <c r="Z3" s="31">
        <v>7.64</v>
      </c>
      <c r="AA3" s="13" t="s">
        <v>61</v>
      </c>
      <c r="AB3" s="13">
        <v>0</v>
      </c>
      <c r="AC3" s="14"/>
      <c r="AD3" s="32">
        <v>8.02</v>
      </c>
      <c r="AE3" s="22"/>
      <c r="AF3" s="22"/>
      <c r="AG3" s="22"/>
      <c r="AH3" s="22"/>
      <c r="AI3" s="22"/>
      <c r="AJ3" s="33">
        <v>0</v>
      </c>
      <c r="AK3" s="16"/>
      <c r="AL3" s="5"/>
    </row>
    <row r="4" spans="1:38" s="23" customFormat="1" ht="27.95" customHeight="1">
      <c r="A4" s="4">
        <v>2</v>
      </c>
      <c r="B4" s="5"/>
      <c r="C4" s="6">
        <v>812020103004</v>
      </c>
      <c r="D4" s="12" t="s">
        <v>31</v>
      </c>
      <c r="E4" s="13" t="s">
        <v>45</v>
      </c>
      <c r="F4" s="18">
        <v>37511</v>
      </c>
      <c r="G4" s="13" t="s">
        <v>66</v>
      </c>
      <c r="H4" s="24">
        <v>254643047151</v>
      </c>
      <c r="I4" s="20">
        <v>6369431061</v>
      </c>
      <c r="J4" s="21" t="s">
        <v>48</v>
      </c>
      <c r="K4" s="17" t="s">
        <v>71</v>
      </c>
      <c r="L4" s="17" t="s">
        <v>72</v>
      </c>
      <c r="M4" s="22" t="s">
        <v>86</v>
      </c>
      <c r="N4" s="14"/>
      <c r="O4" s="17">
        <v>9787771942</v>
      </c>
      <c r="P4" s="13" t="s">
        <v>61</v>
      </c>
      <c r="Q4" s="13" t="s">
        <v>60</v>
      </c>
      <c r="R4" s="13" t="s">
        <v>60</v>
      </c>
      <c r="S4" s="4">
        <v>86.8</v>
      </c>
      <c r="T4" s="7">
        <v>66</v>
      </c>
      <c r="U4" s="13" t="s">
        <v>63</v>
      </c>
      <c r="V4" s="29">
        <v>8.24</v>
      </c>
      <c r="W4" s="30">
        <v>8.8800000000000008</v>
      </c>
      <c r="X4" s="29">
        <v>10</v>
      </c>
      <c r="Y4" s="30">
        <v>7.29</v>
      </c>
      <c r="Z4" s="31">
        <v>8.59</v>
      </c>
      <c r="AA4" s="13" t="s">
        <v>61</v>
      </c>
      <c r="AB4" s="13">
        <v>0</v>
      </c>
      <c r="AC4" s="14"/>
      <c r="AD4" s="32">
        <v>8.3000000000000007</v>
      </c>
      <c r="AE4" s="14"/>
      <c r="AF4" s="14"/>
      <c r="AG4" s="14"/>
      <c r="AH4" s="14"/>
      <c r="AI4" s="14"/>
      <c r="AJ4" s="33">
        <v>0</v>
      </c>
      <c r="AK4" s="14"/>
      <c r="AL4" s="5"/>
    </row>
    <row r="5" spans="1:38" s="23" customFormat="1" ht="27.95" customHeight="1">
      <c r="A5" s="4">
        <v>3</v>
      </c>
      <c r="B5" s="5"/>
      <c r="C5" s="6">
        <v>812020103005</v>
      </c>
      <c r="D5" s="12" t="s">
        <v>32</v>
      </c>
      <c r="E5" s="13" t="s">
        <v>45</v>
      </c>
      <c r="F5" s="18">
        <v>37713</v>
      </c>
      <c r="G5" s="13" t="s">
        <v>66</v>
      </c>
      <c r="H5" s="19">
        <v>457572026595</v>
      </c>
      <c r="I5" s="20">
        <v>9787499489</v>
      </c>
      <c r="J5" s="21" t="s">
        <v>49</v>
      </c>
      <c r="K5" s="17" t="s">
        <v>102</v>
      </c>
      <c r="L5" s="17" t="s">
        <v>82</v>
      </c>
      <c r="M5" s="22" t="s">
        <v>87</v>
      </c>
      <c r="N5" s="14"/>
      <c r="O5" s="17">
        <v>9942682982</v>
      </c>
      <c r="P5" s="13" t="s">
        <v>60</v>
      </c>
      <c r="Q5" s="13" t="s">
        <v>60</v>
      </c>
      <c r="R5" s="13" t="s">
        <v>60</v>
      </c>
      <c r="S5" s="4">
        <v>86.2</v>
      </c>
      <c r="T5" s="7">
        <v>73</v>
      </c>
      <c r="U5" s="13" t="s">
        <v>63</v>
      </c>
      <c r="V5" s="29">
        <v>7.68</v>
      </c>
      <c r="W5" s="30">
        <v>8.8800000000000008</v>
      </c>
      <c r="X5" s="29">
        <v>9.5500000000000007</v>
      </c>
      <c r="Y5" s="30">
        <v>7.33</v>
      </c>
      <c r="Z5" s="31">
        <v>7.52</v>
      </c>
      <c r="AA5" s="13" t="s">
        <v>64</v>
      </c>
      <c r="AB5" s="13">
        <v>0</v>
      </c>
      <c r="AC5" s="14"/>
      <c r="AD5" s="32">
        <v>8.2200000000000006</v>
      </c>
      <c r="AE5" s="14"/>
      <c r="AF5" s="14"/>
      <c r="AG5" s="14"/>
      <c r="AH5" s="14"/>
      <c r="AI5" s="14"/>
      <c r="AJ5" s="33">
        <v>0</v>
      </c>
      <c r="AK5" s="14"/>
      <c r="AL5" s="5"/>
    </row>
    <row r="6" spans="1:38" s="23" customFormat="1" ht="27.95" customHeight="1">
      <c r="A6" s="4">
        <v>4</v>
      </c>
      <c r="B6" s="5"/>
      <c r="C6" s="6">
        <v>812020103007</v>
      </c>
      <c r="D6" s="12" t="s">
        <v>34</v>
      </c>
      <c r="E6" s="13" t="s">
        <v>45</v>
      </c>
      <c r="F6" s="18">
        <v>37460</v>
      </c>
      <c r="G6" s="13" t="s">
        <v>66</v>
      </c>
      <c r="H6" s="24">
        <v>272121488836</v>
      </c>
      <c r="I6" s="20">
        <v>9655947673</v>
      </c>
      <c r="J6" s="21" t="s">
        <v>51</v>
      </c>
      <c r="K6" s="17" t="s">
        <v>104</v>
      </c>
      <c r="L6" s="17" t="s">
        <v>85</v>
      </c>
      <c r="M6" s="22" t="s">
        <v>94</v>
      </c>
      <c r="N6" s="14"/>
      <c r="O6" s="17">
        <v>9994450283</v>
      </c>
      <c r="P6" s="13" t="s">
        <v>60</v>
      </c>
      <c r="Q6" s="13" t="s">
        <v>60</v>
      </c>
      <c r="R6" s="13" t="s">
        <v>60</v>
      </c>
      <c r="S6" s="4">
        <v>75.8</v>
      </c>
      <c r="T6" s="7">
        <v>69.833333333333329</v>
      </c>
      <c r="U6" s="13" t="s">
        <v>63</v>
      </c>
      <c r="V6" s="29">
        <v>7.08</v>
      </c>
      <c r="W6" s="30">
        <v>8.34</v>
      </c>
      <c r="X6" s="29">
        <v>9.42</v>
      </c>
      <c r="Y6" s="30">
        <v>7.63</v>
      </c>
      <c r="Z6" s="31">
        <v>7.84</v>
      </c>
      <c r="AA6" s="13" t="s">
        <v>61</v>
      </c>
      <c r="AB6" s="13">
        <v>0</v>
      </c>
      <c r="AC6" s="14"/>
      <c r="AD6" s="32">
        <v>8.11</v>
      </c>
      <c r="AE6" s="14"/>
      <c r="AF6" s="14"/>
      <c r="AG6" s="14"/>
      <c r="AH6" s="14"/>
      <c r="AI6" s="14"/>
      <c r="AJ6" s="33">
        <v>0</v>
      </c>
      <c r="AK6" s="14"/>
      <c r="AL6" s="5"/>
    </row>
    <row r="7" spans="1:38" s="23" customFormat="1" ht="27.95" customHeight="1">
      <c r="A7" s="4">
        <v>5</v>
      </c>
      <c r="B7" s="5"/>
      <c r="C7" s="6">
        <v>812020103010</v>
      </c>
      <c r="D7" s="12" t="s">
        <v>37</v>
      </c>
      <c r="E7" s="13" t="s">
        <v>44</v>
      </c>
      <c r="F7" s="18">
        <v>37397</v>
      </c>
      <c r="G7" s="13" t="s">
        <v>66</v>
      </c>
      <c r="H7" s="19">
        <v>668231639784</v>
      </c>
      <c r="I7" s="20">
        <v>8610794918</v>
      </c>
      <c r="J7" s="21" t="s">
        <v>54</v>
      </c>
      <c r="K7" s="17" t="s">
        <v>105</v>
      </c>
      <c r="L7" s="17" t="s">
        <v>83</v>
      </c>
      <c r="M7" s="22" t="s">
        <v>92</v>
      </c>
      <c r="N7" s="14"/>
      <c r="O7" s="17">
        <v>9524578007</v>
      </c>
      <c r="P7" s="13" t="s">
        <v>60</v>
      </c>
      <c r="Q7" s="13" t="s">
        <v>60</v>
      </c>
      <c r="R7" s="13" t="s">
        <v>60</v>
      </c>
      <c r="S7" s="4">
        <v>61.2</v>
      </c>
      <c r="T7" s="7">
        <v>51</v>
      </c>
      <c r="U7" s="13" t="s">
        <v>63</v>
      </c>
      <c r="V7" s="29">
        <v>8.32</v>
      </c>
      <c r="W7" s="30">
        <v>9.3000000000000007</v>
      </c>
      <c r="X7" s="29">
        <v>9.6300000000000008</v>
      </c>
      <c r="Y7" s="30">
        <v>7.38</v>
      </c>
      <c r="Z7" s="31">
        <v>8</v>
      </c>
      <c r="AA7" s="13" t="s">
        <v>61</v>
      </c>
      <c r="AB7" s="13">
        <v>0</v>
      </c>
      <c r="AC7" s="14"/>
      <c r="AD7" s="32">
        <v>8.5299999999999994</v>
      </c>
      <c r="AE7" s="14"/>
      <c r="AF7" s="14"/>
      <c r="AG7" s="14"/>
      <c r="AH7" s="14"/>
      <c r="AI7" s="14"/>
      <c r="AJ7" s="33">
        <v>0</v>
      </c>
      <c r="AK7" s="14"/>
      <c r="AL7" s="5"/>
    </row>
    <row r="8" spans="1:38" s="23" customFormat="1" ht="27.95" customHeight="1">
      <c r="A8" s="4">
        <v>6</v>
      </c>
      <c r="B8" s="5"/>
      <c r="C8" s="6">
        <v>812020103302</v>
      </c>
      <c r="D8" s="12" t="s">
        <v>39</v>
      </c>
      <c r="E8" s="13" t="s">
        <v>45</v>
      </c>
      <c r="F8" s="18">
        <v>37063</v>
      </c>
      <c r="G8" s="13" t="s">
        <v>67</v>
      </c>
      <c r="H8" s="19">
        <v>243770710207</v>
      </c>
      <c r="I8" s="20">
        <v>6363949117</v>
      </c>
      <c r="J8" s="21" t="s">
        <v>56</v>
      </c>
      <c r="K8" s="17" t="s">
        <v>107</v>
      </c>
      <c r="L8" s="17" t="s">
        <v>76</v>
      </c>
      <c r="M8" s="22" t="s">
        <v>97</v>
      </c>
      <c r="N8" s="14"/>
      <c r="O8" s="17">
        <v>9535015592</v>
      </c>
      <c r="P8" s="13" t="s">
        <v>61</v>
      </c>
      <c r="Q8" s="13" t="s">
        <v>60</v>
      </c>
      <c r="R8" s="13" t="s">
        <v>60</v>
      </c>
      <c r="S8" s="4">
        <v>57.8</v>
      </c>
      <c r="T8" s="7"/>
      <c r="U8" s="13">
        <v>78</v>
      </c>
      <c r="V8" s="13" t="s">
        <v>63</v>
      </c>
      <c r="W8" s="13" t="s">
        <v>63</v>
      </c>
      <c r="X8" s="29">
        <v>8.9600000000000009</v>
      </c>
      <c r="Y8" s="30">
        <v>7</v>
      </c>
      <c r="Z8" s="31">
        <v>7.59</v>
      </c>
      <c r="AA8" s="34" t="s">
        <v>64</v>
      </c>
      <c r="AB8" s="13">
        <v>0</v>
      </c>
      <c r="AC8" s="14"/>
      <c r="AD8" s="32">
        <v>6.84</v>
      </c>
      <c r="AE8" s="14"/>
      <c r="AF8" s="14"/>
      <c r="AG8" s="14"/>
      <c r="AH8" s="14"/>
      <c r="AI8" s="14"/>
      <c r="AJ8" s="33">
        <v>0</v>
      </c>
      <c r="AK8" s="14"/>
      <c r="AL8" s="5"/>
    </row>
    <row r="9" spans="1:38" s="23" customFormat="1" ht="27.95" customHeight="1">
      <c r="A9" s="4">
        <v>7</v>
      </c>
      <c r="B9" s="14"/>
      <c r="C9" s="6">
        <v>812020103306</v>
      </c>
      <c r="D9" s="12" t="s">
        <v>43</v>
      </c>
      <c r="E9" s="13" t="s">
        <v>45</v>
      </c>
      <c r="F9" s="18">
        <v>36865</v>
      </c>
      <c r="G9" s="13" t="s">
        <v>67</v>
      </c>
      <c r="H9" s="19">
        <v>619125773096</v>
      </c>
      <c r="I9" s="20">
        <v>9361560082</v>
      </c>
      <c r="J9" s="26" t="s">
        <v>59</v>
      </c>
      <c r="K9" s="17" t="s">
        <v>80</v>
      </c>
      <c r="L9" s="17" t="s">
        <v>72</v>
      </c>
      <c r="M9" s="22" t="s">
        <v>89</v>
      </c>
      <c r="N9" s="14"/>
      <c r="O9" s="17">
        <v>8489915379</v>
      </c>
      <c r="P9" s="13" t="s">
        <v>61</v>
      </c>
      <c r="Q9" s="13" t="s">
        <v>61</v>
      </c>
      <c r="R9" s="13" t="s">
        <v>60</v>
      </c>
      <c r="S9" s="13">
        <v>75.2</v>
      </c>
      <c r="T9" s="25">
        <v>53.5</v>
      </c>
      <c r="U9" s="13">
        <v>72</v>
      </c>
      <c r="V9" s="13" t="s">
        <v>63</v>
      </c>
      <c r="W9" s="13" t="s">
        <v>63</v>
      </c>
      <c r="X9" s="29">
        <v>8.75</v>
      </c>
      <c r="Y9" s="30">
        <v>6.88</v>
      </c>
      <c r="Z9" s="31">
        <v>7.32</v>
      </c>
      <c r="AA9" s="34" t="s">
        <v>64</v>
      </c>
      <c r="AB9" s="13">
        <v>0</v>
      </c>
      <c r="AC9" s="14"/>
      <c r="AD9" s="32">
        <v>7.1</v>
      </c>
      <c r="AE9" s="14"/>
      <c r="AF9" s="14"/>
      <c r="AG9" s="14"/>
      <c r="AH9" s="14"/>
      <c r="AI9" s="14"/>
      <c r="AJ9" s="33">
        <v>0</v>
      </c>
      <c r="AK9" s="14"/>
      <c r="AL9" s="5"/>
    </row>
  </sheetData>
  <mergeCells count="36">
    <mergeCell ref="AK1:AL1"/>
    <mergeCell ref="Y1:Y2"/>
    <mergeCell ref="Z1:Z2"/>
    <mergeCell ref="AA1:AA2"/>
    <mergeCell ref="AB1:AB2"/>
    <mergeCell ref="AC1:AC2"/>
    <mergeCell ref="AD1:AD2"/>
    <mergeCell ref="AE1:AE2"/>
    <mergeCell ref="AF1:AF2"/>
    <mergeCell ref="AG1:AH1"/>
    <mergeCell ref="AI1:AI2"/>
    <mergeCell ref="AJ1:AJ2"/>
    <mergeCell ref="X1:X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conditionalFormatting sqref="V3:W7 X3:Z9 AD3:AD9">
    <cfRule type="containsText" dxfId="12" priority="9" operator="containsText" text="AB">
      <formula>NOT(ISERROR(SEARCH(("AB"),(V3))))</formula>
    </cfRule>
  </conditionalFormatting>
  <conditionalFormatting sqref="V3:W7 X3:Z9 AD3:AD9">
    <cfRule type="containsText" dxfId="11" priority="8" operator="containsText" text="P">
      <formula>NOT(ISERROR(SEARCH(("P"),(V3))))</formula>
    </cfRule>
  </conditionalFormatting>
  <conditionalFormatting sqref="V4:Z4 AD4">
    <cfRule type="containsText" dxfId="10" priority="7" operator="containsText" text="DO">
      <formula>NOT(ISERROR(SEARCH(("DO"),(V4))))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5"/>
  <sheetViews>
    <sheetView workbookViewId="0">
      <selection activeCell="A7" sqref="A7"/>
    </sheetView>
  </sheetViews>
  <sheetFormatPr defaultRowHeight="15"/>
  <cols>
    <col min="3" max="3" width="13.140625" bestFit="1" customWidth="1"/>
    <col min="4" max="4" width="23.42578125" bestFit="1" customWidth="1"/>
    <col min="8" max="8" width="13.140625" bestFit="1" customWidth="1"/>
    <col min="9" max="9" width="11" bestFit="1" customWidth="1"/>
    <col min="10" max="10" width="32.85546875" bestFit="1" customWidth="1"/>
    <col min="11" max="11" width="16" bestFit="1" customWidth="1"/>
    <col min="13" max="13" width="39.140625" customWidth="1"/>
    <col min="15" max="15" width="11.5703125" bestFit="1" customWidth="1"/>
  </cols>
  <sheetData>
    <row r="1" spans="1:38" s="35" customFormat="1" ht="38.25" customHeight="1">
      <c r="A1" s="77" t="s">
        <v>0</v>
      </c>
      <c r="B1" s="78" t="s">
        <v>1</v>
      </c>
      <c r="C1" s="79" t="s">
        <v>2</v>
      </c>
      <c r="D1" s="78" t="s">
        <v>3</v>
      </c>
      <c r="E1" s="77" t="s">
        <v>4</v>
      </c>
      <c r="F1" s="80" t="s">
        <v>5</v>
      </c>
      <c r="G1" s="77" t="s">
        <v>6</v>
      </c>
      <c r="H1" s="77" t="s">
        <v>7</v>
      </c>
      <c r="I1" s="77" t="s">
        <v>8</v>
      </c>
      <c r="J1" s="78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27</v>
      </c>
      <c r="T1" s="77" t="s">
        <v>28</v>
      </c>
      <c r="U1" s="77" t="s">
        <v>18</v>
      </c>
      <c r="V1" s="77" t="s">
        <v>19</v>
      </c>
      <c r="W1" s="77" t="s">
        <v>20</v>
      </c>
      <c r="X1" s="77" t="s">
        <v>21</v>
      </c>
      <c r="Y1" s="77" t="s">
        <v>22</v>
      </c>
      <c r="Z1" s="77" t="s">
        <v>23</v>
      </c>
      <c r="AA1" s="77" t="s">
        <v>24</v>
      </c>
      <c r="AB1" s="77" t="s">
        <v>25</v>
      </c>
      <c r="AC1" s="77" t="s">
        <v>26</v>
      </c>
      <c r="AD1" s="78" t="s">
        <v>109</v>
      </c>
      <c r="AE1" s="82" t="s">
        <v>110</v>
      </c>
      <c r="AF1" s="82" t="s">
        <v>111</v>
      </c>
      <c r="AG1" s="82" t="s">
        <v>112</v>
      </c>
      <c r="AH1" s="82"/>
      <c r="AI1" s="82" t="s">
        <v>113</v>
      </c>
      <c r="AJ1" s="82" t="s">
        <v>114</v>
      </c>
      <c r="AK1" s="81" t="s">
        <v>118</v>
      </c>
      <c r="AL1" s="81"/>
    </row>
    <row r="2" spans="1:38" s="35" customFormat="1" ht="12.75">
      <c r="A2" s="77"/>
      <c r="B2" s="78"/>
      <c r="C2" s="79"/>
      <c r="D2" s="78"/>
      <c r="E2" s="77"/>
      <c r="F2" s="80"/>
      <c r="G2" s="77"/>
      <c r="H2" s="77"/>
      <c r="I2" s="77"/>
      <c r="J2" s="78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8"/>
      <c r="AE2" s="82"/>
      <c r="AF2" s="82"/>
      <c r="AG2" s="9" t="s">
        <v>116</v>
      </c>
      <c r="AH2" s="9" t="s">
        <v>117</v>
      </c>
      <c r="AI2" s="82"/>
      <c r="AJ2" s="82"/>
      <c r="AK2" s="9" t="s">
        <v>115</v>
      </c>
      <c r="AL2" s="9" t="s">
        <v>119</v>
      </c>
    </row>
    <row r="3" spans="1:38" s="5" customFormat="1" ht="27.95" customHeight="1">
      <c r="A3" s="4">
        <v>1</v>
      </c>
      <c r="C3" s="6">
        <v>812020103003</v>
      </c>
      <c r="D3" s="12" t="s">
        <v>30</v>
      </c>
      <c r="E3" s="13" t="s">
        <v>45</v>
      </c>
      <c r="F3" s="18">
        <v>37597</v>
      </c>
      <c r="G3" s="13" t="s">
        <v>66</v>
      </c>
      <c r="H3" s="19">
        <v>349115711195</v>
      </c>
      <c r="I3" s="20">
        <v>9042413731</v>
      </c>
      <c r="J3" s="21" t="s">
        <v>47</v>
      </c>
      <c r="K3" s="17" t="s">
        <v>101</v>
      </c>
      <c r="L3" s="17" t="s">
        <v>81</v>
      </c>
      <c r="M3" s="22" t="s">
        <v>95</v>
      </c>
      <c r="N3" s="14"/>
      <c r="O3" s="17">
        <v>9042413731</v>
      </c>
      <c r="P3" s="13" t="s">
        <v>60</v>
      </c>
      <c r="Q3" s="13" t="s">
        <v>60</v>
      </c>
      <c r="R3" s="13" t="s">
        <v>60</v>
      </c>
      <c r="S3" s="4">
        <v>68.2</v>
      </c>
      <c r="T3" s="7">
        <v>65.833333333333329</v>
      </c>
      <c r="U3" s="13" t="s">
        <v>63</v>
      </c>
      <c r="V3" s="29">
        <v>7.68</v>
      </c>
      <c r="W3" s="30">
        <v>8.0500000000000007</v>
      </c>
      <c r="X3" s="29">
        <v>8.67</v>
      </c>
      <c r="Y3" s="30">
        <v>7.04</v>
      </c>
      <c r="Z3" s="31">
        <v>7.24</v>
      </c>
      <c r="AA3" s="13" t="s">
        <v>61</v>
      </c>
      <c r="AB3" s="13">
        <v>1</v>
      </c>
      <c r="AC3" s="14"/>
      <c r="AD3" s="32">
        <v>7.52</v>
      </c>
      <c r="AE3" s="14"/>
      <c r="AF3" s="14"/>
      <c r="AG3" s="14"/>
      <c r="AH3" s="14"/>
      <c r="AI3" s="14"/>
      <c r="AJ3" s="33">
        <v>1</v>
      </c>
      <c r="AK3" s="14"/>
    </row>
    <row r="4" spans="1:38" s="5" customFormat="1" ht="27.95" customHeight="1">
      <c r="A4" s="4">
        <v>2</v>
      </c>
      <c r="C4" s="6">
        <v>812020103008</v>
      </c>
      <c r="D4" s="12" t="s">
        <v>35</v>
      </c>
      <c r="E4" s="13" t="s">
        <v>45</v>
      </c>
      <c r="F4" s="18">
        <v>44777</v>
      </c>
      <c r="G4" s="13" t="s">
        <v>67</v>
      </c>
      <c r="H4" s="19">
        <v>642630495042</v>
      </c>
      <c r="I4" s="20">
        <v>9345873070</v>
      </c>
      <c r="J4" s="21" t="s">
        <v>52</v>
      </c>
      <c r="K4" s="17" t="s">
        <v>73</v>
      </c>
      <c r="L4" s="17" t="s">
        <v>72</v>
      </c>
      <c r="M4" s="22" t="s">
        <v>96</v>
      </c>
      <c r="N4" s="14"/>
      <c r="O4" s="17">
        <v>9626025074</v>
      </c>
      <c r="P4" s="13" t="s">
        <v>60</v>
      </c>
      <c r="Q4" s="13" t="s">
        <v>60</v>
      </c>
      <c r="R4" s="13" t="s">
        <v>60</v>
      </c>
      <c r="S4" s="4">
        <v>77.8</v>
      </c>
      <c r="T4" s="7">
        <v>59.166666666666664</v>
      </c>
      <c r="U4" s="13" t="s">
        <v>63</v>
      </c>
      <c r="V4" s="29">
        <v>7.24</v>
      </c>
      <c r="W4" s="30">
        <v>8.42</v>
      </c>
      <c r="X4" s="29">
        <v>9</v>
      </c>
      <c r="Y4" s="30">
        <v>7.33</v>
      </c>
      <c r="Z4" s="31">
        <v>7.32</v>
      </c>
      <c r="AA4" s="13" t="s">
        <v>61</v>
      </c>
      <c r="AB4" s="13">
        <v>1</v>
      </c>
      <c r="AC4" s="14"/>
      <c r="AD4" s="32">
        <v>7.59</v>
      </c>
      <c r="AE4" s="14"/>
      <c r="AF4" s="14"/>
      <c r="AG4" s="14"/>
      <c r="AH4" s="14"/>
      <c r="AI4" s="14"/>
      <c r="AJ4" s="33">
        <v>1</v>
      </c>
      <c r="AK4" s="14"/>
    </row>
    <row r="5" spans="1:38" s="5" customFormat="1" ht="27.95" customHeight="1">
      <c r="A5" s="4">
        <v>3</v>
      </c>
      <c r="C5" s="6">
        <v>812020103009</v>
      </c>
      <c r="D5" s="12" t="s">
        <v>36</v>
      </c>
      <c r="E5" s="13" t="s">
        <v>45</v>
      </c>
      <c r="F5" s="18">
        <v>37503</v>
      </c>
      <c r="G5" s="13" t="s">
        <v>68</v>
      </c>
      <c r="H5" s="19">
        <v>310409754643</v>
      </c>
      <c r="I5" s="20">
        <v>9524670062</v>
      </c>
      <c r="J5" s="21" t="s">
        <v>53</v>
      </c>
      <c r="K5" s="17" t="s">
        <v>74</v>
      </c>
      <c r="L5" s="17" t="s">
        <v>75</v>
      </c>
      <c r="M5" s="22" t="s">
        <v>91</v>
      </c>
      <c r="N5" s="14"/>
      <c r="O5" s="17">
        <v>6384261181</v>
      </c>
      <c r="P5" s="13" t="s">
        <v>60</v>
      </c>
      <c r="Q5" s="13" t="s">
        <v>61</v>
      </c>
      <c r="R5" s="13" t="s">
        <v>60</v>
      </c>
      <c r="S5" s="4">
        <v>56</v>
      </c>
      <c r="T5" s="7">
        <v>40.333333333333336</v>
      </c>
      <c r="U5" s="13" t="s">
        <v>63</v>
      </c>
      <c r="V5" s="29">
        <v>6.76</v>
      </c>
      <c r="W5" s="30">
        <v>8.59</v>
      </c>
      <c r="X5" s="29">
        <v>8.6300000000000008</v>
      </c>
      <c r="Y5" s="30">
        <v>6.62</v>
      </c>
      <c r="Z5" s="31">
        <v>6.6</v>
      </c>
      <c r="AA5" s="13" t="s">
        <v>61</v>
      </c>
      <c r="AB5" s="13">
        <v>1</v>
      </c>
      <c r="AC5" s="14"/>
      <c r="AD5" s="32">
        <v>7.25</v>
      </c>
      <c r="AE5" s="14"/>
      <c r="AF5" s="14"/>
      <c r="AG5" s="14"/>
      <c r="AH5" s="14"/>
      <c r="AI5" s="14"/>
      <c r="AJ5" s="33">
        <v>1</v>
      </c>
      <c r="AK5" s="14"/>
    </row>
  </sheetData>
  <mergeCells count="36">
    <mergeCell ref="AK1:AL1"/>
    <mergeCell ref="Y1:Y2"/>
    <mergeCell ref="Z1:Z2"/>
    <mergeCell ref="AA1:AA2"/>
    <mergeCell ref="AB1:AB2"/>
    <mergeCell ref="AC1:AC2"/>
    <mergeCell ref="AD1:AD2"/>
    <mergeCell ref="AE1:AE2"/>
    <mergeCell ref="AF1:AF2"/>
    <mergeCell ref="AG1:AH1"/>
    <mergeCell ref="AI1:AI2"/>
    <mergeCell ref="AJ1:AJ2"/>
    <mergeCell ref="X1:X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conditionalFormatting sqref="V3:Z5 AD3:AD5">
    <cfRule type="containsText" dxfId="9" priority="9" operator="containsText" text="AB">
      <formula>NOT(ISERROR(SEARCH(("AB"),(V3))))</formula>
    </cfRule>
  </conditionalFormatting>
  <conditionalFormatting sqref="V3:Z5 AD3:AD5">
    <cfRule type="containsText" dxfId="8" priority="8" operator="containsText" text="P">
      <formula>NOT(ISERROR(SEARCH(("P"),(V3))))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"/>
  <sheetViews>
    <sheetView workbookViewId="0">
      <selection activeCell="H10" sqref="H10"/>
    </sheetView>
  </sheetViews>
  <sheetFormatPr defaultRowHeight="15"/>
  <cols>
    <col min="3" max="3" width="15" customWidth="1"/>
    <col min="4" max="4" width="23.42578125" bestFit="1" customWidth="1"/>
    <col min="8" max="8" width="13.140625" bestFit="1" customWidth="1"/>
    <col min="10" max="10" width="32.85546875" bestFit="1" customWidth="1"/>
    <col min="11" max="11" width="16" bestFit="1" customWidth="1"/>
    <col min="12" max="12" width="18.85546875" bestFit="1" customWidth="1"/>
    <col min="13" max="13" width="43.28515625" customWidth="1"/>
    <col min="15" max="15" width="11.5703125" bestFit="1" customWidth="1"/>
  </cols>
  <sheetData>
    <row r="1" spans="1:38" s="15" customFormat="1" ht="38.25" customHeight="1">
      <c r="A1" s="77" t="s">
        <v>0</v>
      </c>
      <c r="B1" s="78" t="s">
        <v>1</v>
      </c>
      <c r="C1" s="79" t="s">
        <v>2</v>
      </c>
      <c r="D1" s="78" t="s">
        <v>3</v>
      </c>
      <c r="E1" s="77" t="s">
        <v>4</v>
      </c>
      <c r="F1" s="80" t="s">
        <v>5</v>
      </c>
      <c r="G1" s="77" t="s">
        <v>6</v>
      </c>
      <c r="H1" s="77" t="s">
        <v>7</v>
      </c>
      <c r="I1" s="77" t="s">
        <v>8</v>
      </c>
      <c r="J1" s="78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27</v>
      </c>
      <c r="T1" s="77" t="s">
        <v>28</v>
      </c>
      <c r="U1" s="77" t="s">
        <v>18</v>
      </c>
      <c r="V1" s="77" t="s">
        <v>19</v>
      </c>
      <c r="W1" s="77" t="s">
        <v>20</v>
      </c>
      <c r="X1" s="77" t="s">
        <v>21</v>
      </c>
      <c r="Y1" s="77" t="s">
        <v>22</v>
      </c>
      <c r="Z1" s="77" t="s">
        <v>23</v>
      </c>
      <c r="AA1" s="77" t="s">
        <v>24</v>
      </c>
      <c r="AB1" s="77" t="s">
        <v>25</v>
      </c>
      <c r="AC1" s="77" t="s">
        <v>26</v>
      </c>
      <c r="AD1" s="78" t="s">
        <v>109</v>
      </c>
      <c r="AE1" s="82" t="s">
        <v>110</v>
      </c>
      <c r="AF1" s="82" t="s">
        <v>111</v>
      </c>
      <c r="AG1" s="82" t="s">
        <v>112</v>
      </c>
      <c r="AH1" s="82"/>
      <c r="AI1" s="82" t="s">
        <v>113</v>
      </c>
      <c r="AJ1" s="82" t="s">
        <v>114</v>
      </c>
      <c r="AK1" s="69" t="s">
        <v>118</v>
      </c>
      <c r="AL1" s="70"/>
    </row>
    <row r="2" spans="1:38" s="15" customFormat="1" ht="12.75">
      <c r="A2" s="77"/>
      <c r="B2" s="78"/>
      <c r="C2" s="79"/>
      <c r="D2" s="78"/>
      <c r="E2" s="77"/>
      <c r="F2" s="80"/>
      <c r="G2" s="77"/>
      <c r="H2" s="77"/>
      <c r="I2" s="77"/>
      <c r="J2" s="78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8"/>
      <c r="AE2" s="82"/>
      <c r="AF2" s="82"/>
      <c r="AG2" s="9" t="s">
        <v>116</v>
      </c>
      <c r="AH2" s="9" t="s">
        <v>117</v>
      </c>
      <c r="AI2" s="82"/>
      <c r="AJ2" s="82"/>
      <c r="AK2" s="28" t="s">
        <v>115</v>
      </c>
      <c r="AL2" s="28" t="s">
        <v>119</v>
      </c>
    </row>
    <row r="3" spans="1:38" s="23" customFormat="1" ht="27.95" customHeight="1">
      <c r="A3" s="4">
        <v>1</v>
      </c>
      <c r="B3" s="5"/>
      <c r="C3" s="6">
        <v>812020103006</v>
      </c>
      <c r="D3" s="12" t="s">
        <v>33</v>
      </c>
      <c r="E3" s="13" t="s">
        <v>45</v>
      </c>
      <c r="F3" s="18">
        <v>37787</v>
      </c>
      <c r="G3" s="13" t="s">
        <v>66</v>
      </c>
      <c r="H3" s="19">
        <v>266365904179</v>
      </c>
      <c r="I3" s="20">
        <v>7904360015</v>
      </c>
      <c r="J3" s="21" t="s">
        <v>50</v>
      </c>
      <c r="K3" s="17" t="s">
        <v>103</v>
      </c>
      <c r="L3" s="17" t="s">
        <v>72</v>
      </c>
      <c r="M3" s="22" t="s">
        <v>93</v>
      </c>
      <c r="N3" s="14"/>
      <c r="O3" s="17">
        <v>9787203247</v>
      </c>
      <c r="P3" s="13" t="s">
        <v>61</v>
      </c>
      <c r="Q3" s="13" t="s">
        <v>60</v>
      </c>
      <c r="R3" s="13" t="s">
        <v>60</v>
      </c>
      <c r="S3" s="4">
        <v>65.8</v>
      </c>
      <c r="T3" s="7">
        <v>46.333333333333336</v>
      </c>
      <c r="U3" s="13" t="s">
        <v>63</v>
      </c>
      <c r="V3" s="29">
        <v>7.64</v>
      </c>
      <c r="W3" s="30">
        <v>8.3000000000000007</v>
      </c>
      <c r="X3" s="29">
        <v>9.1300000000000008</v>
      </c>
      <c r="Y3" s="30">
        <v>7</v>
      </c>
      <c r="Z3" s="31">
        <v>6.68</v>
      </c>
      <c r="AA3" s="13" t="s">
        <v>61</v>
      </c>
      <c r="AB3" s="13">
        <v>5</v>
      </c>
      <c r="AC3" s="14"/>
      <c r="AD3" s="32">
        <v>6.85</v>
      </c>
      <c r="AE3" s="14"/>
      <c r="AF3" s="14"/>
      <c r="AG3" s="14"/>
      <c r="AH3" s="14"/>
      <c r="AI3" s="14"/>
      <c r="AJ3" s="33">
        <v>5</v>
      </c>
      <c r="AK3" s="14"/>
      <c r="AL3" s="5"/>
    </row>
    <row r="4" spans="1:38" s="23" customFormat="1" ht="27.95" customHeight="1">
      <c r="A4" s="4">
        <v>2</v>
      </c>
      <c r="B4" s="5"/>
      <c r="C4" s="6">
        <v>812020103301</v>
      </c>
      <c r="D4" s="12" t="s">
        <v>38</v>
      </c>
      <c r="E4" s="13" t="s">
        <v>45</v>
      </c>
      <c r="F4" s="18">
        <v>37399</v>
      </c>
      <c r="G4" s="13" t="s">
        <v>68</v>
      </c>
      <c r="H4" s="19">
        <v>300023092447</v>
      </c>
      <c r="I4" s="20">
        <v>9042634362</v>
      </c>
      <c r="J4" s="21" t="s">
        <v>55</v>
      </c>
      <c r="K4" s="17" t="s">
        <v>106</v>
      </c>
      <c r="L4" s="17" t="s">
        <v>72</v>
      </c>
      <c r="M4" s="22" t="s">
        <v>98</v>
      </c>
      <c r="N4" s="14"/>
      <c r="O4" s="17" t="s">
        <v>65</v>
      </c>
      <c r="P4" s="13" t="s">
        <v>60</v>
      </c>
      <c r="Q4" s="13" t="s">
        <v>60</v>
      </c>
      <c r="R4" s="13" t="s">
        <v>60</v>
      </c>
      <c r="S4" s="4">
        <v>72.400000000000006</v>
      </c>
      <c r="T4" s="7">
        <v>48.166666666666664</v>
      </c>
      <c r="U4" s="13">
        <v>82</v>
      </c>
      <c r="V4" s="13" t="s">
        <v>63</v>
      </c>
      <c r="W4" s="13" t="s">
        <v>63</v>
      </c>
      <c r="X4" s="29">
        <v>9.34</v>
      </c>
      <c r="Y4" s="30">
        <v>7</v>
      </c>
      <c r="Z4" s="31">
        <v>7.57</v>
      </c>
      <c r="AA4" s="13" t="s">
        <v>61</v>
      </c>
      <c r="AB4" s="13">
        <v>5</v>
      </c>
      <c r="AC4" s="14"/>
      <c r="AD4" s="32">
        <v>5.08</v>
      </c>
      <c r="AE4" s="14"/>
      <c r="AF4" s="14"/>
      <c r="AG4" s="14"/>
      <c r="AH4" s="14"/>
      <c r="AI4" s="14"/>
      <c r="AJ4" s="33">
        <v>5</v>
      </c>
      <c r="AK4" s="14"/>
      <c r="AL4" s="5"/>
    </row>
    <row r="5" spans="1:38" s="23" customFormat="1" ht="27.95" customHeight="1">
      <c r="A5" s="4">
        <v>3</v>
      </c>
      <c r="B5" s="5"/>
      <c r="C5" s="6">
        <v>812020103303</v>
      </c>
      <c r="D5" s="12" t="s">
        <v>40</v>
      </c>
      <c r="E5" s="13" t="s">
        <v>45</v>
      </c>
      <c r="F5" s="18">
        <v>37230</v>
      </c>
      <c r="G5" s="13" t="s">
        <v>67</v>
      </c>
      <c r="H5" s="19">
        <v>303492252988</v>
      </c>
      <c r="I5" s="20">
        <v>8940282383</v>
      </c>
      <c r="J5" s="21" t="s">
        <v>57</v>
      </c>
      <c r="K5" s="17" t="s">
        <v>77</v>
      </c>
      <c r="L5" s="17" t="s">
        <v>78</v>
      </c>
      <c r="M5" s="22" t="s">
        <v>99</v>
      </c>
      <c r="N5" s="14"/>
      <c r="O5" s="17">
        <v>8940282383</v>
      </c>
      <c r="P5" s="13" t="s">
        <v>61</v>
      </c>
      <c r="Q5" s="13" t="s">
        <v>61</v>
      </c>
      <c r="R5" s="13" t="s">
        <v>60</v>
      </c>
      <c r="S5" s="4">
        <v>75.599999999999994</v>
      </c>
      <c r="T5" s="7">
        <v>50.833333333333336</v>
      </c>
      <c r="U5" s="13">
        <v>78</v>
      </c>
      <c r="V5" s="13" t="s">
        <v>63</v>
      </c>
      <c r="W5" s="13" t="s">
        <v>63</v>
      </c>
      <c r="X5" s="29">
        <v>8.92</v>
      </c>
      <c r="Y5" s="30">
        <v>7.63</v>
      </c>
      <c r="Z5" s="31">
        <v>5.25</v>
      </c>
      <c r="AA5" s="13" t="s">
        <v>61</v>
      </c>
      <c r="AB5" s="13">
        <v>9</v>
      </c>
      <c r="AC5" s="14"/>
      <c r="AD5" s="32">
        <v>2.96</v>
      </c>
      <c r="AE5" s="14"/>
      <c r="AF5" s="14"/>
      <c r="AG5" s="14"/>
      <c r="AH5" s="14"/>
      <c r="AI5" s="14"/>
      <c r="AJ5" s="33">
        <v>9</v>
      </c>
      <c r="AK5" s="14"/>
      <c r="AL5" s="5"/>
    </row>
    <row r="6" spans="1:38" s="23" customFormat="1" ht="27.95" customHeight="1">
      <c r="A6" s="4">
        <v>4</v>
      </c>
      <c r="B6" s="14"/>
      <c r="C6" s="6">
        <v>812020103304</v>
      </c>
      <c r="D6" s="12" t="s">
        <v>41</v>
      </c>
      <c r="E6" s="13" t="s">
        <v>45</v>
      </c>
      <c r="F6" s="18">
        <v>36876</v>
      </c>
      <c r="G6" s="13" t="s">
        <v>67</v>
      </c>
      <c r="H6" s="19">
        <v>701218616820</v>
      </c>
      <c r="I6" s="20">
        <v>8428241464</v>
      </c>
      <c r="J6" s="26" t="s">
        <v>58</v>
      </c>
      <c r="K6" s="17" t="s">
        <v>79</v>
      </c>
      <c r="L6" s="17" t="s">
        <v>72</v>
      </c>
      <c r="M6" s="22" t="s">
        <v>100</v>
      </c>
      <c r="N6" s="14"/>
      <c r="O6" s="17">
        <v>9345116999</v>
      </c>
      <c r="P6" s="13" t="s">
        <v>60</v>
      </c>
      <c r="Q6" s="13" t="s">
        <v>60</v>
      </c>
      <c r="R6" s="13" t="s">
        <v>60</v>
      </c>
      <c r="S6" s="13">
        <v>52.2</v>
      </c>
      <c r="T6" s="25"/>
      <c r="U6" s="13">
        <v>64</v>
      </c>
      <c r="V6" s="13" t="s">
        <v>63</v>
      </c>
      <c r="W6" s="13" t="s">
        <v>63</v>
      </c>
      <c r="X6" s="29">
        <v>8.17</v>
      </c>
      <c r="Y6" s="30">
        <v>7.38</v>
      </c>
      <c r="Z6" s="31">
        <v>6.67</v>
      </c>
      <c r="AA6" s="13" t="s">
        <v>61</v>
      </c>
      <c r="AB6" s="13">
        <v>9</v>
      </c>
      <c r="AC6" s="14"/>
      <c r="AD6" s="32">
        <v>2.4300000000000002</v>
      </c>
      <c r="AE6" s="14"/>
      <c r="AF6" s="14"/>
      <c r="AG6" s="14"/>
      <c r="AH6" s="14"/>
      <c r="AI6" s="14"/>
      <c r="AJ6" s="33">
        <v>9</v>
      </c>
      <c r="AK6" s="14"/>
      <c r="AL6" s="5"/>
    </row>
    <row r="7" spans="1:38" s="23" customFormat="1" ht="27.95" customHeight="1">
      <c r="A7" s="4">
        <v>5</v>
      </c>
      <c r="B7" s="14"/>
      <c r="C7" s="6">
        <v>812020103305</v>
      </c>
      <c r="D7" s="12" t="s">
        <v>42</v>
      </c>
      <c r="E7" s="13" t="s">
        <v>45</v>
      </c>
      <c r="F7" s="18">
        <v>36812</v>
      </c>
      <c r="G7" s="13" t="s">
        <v>67</v>
      </c>
      <c r="H7" s="19">
        <v>785353078619</v>
      </c>
      <c r="I7" s="20">
        <v>8190012931</v>
      </c>
      <c r="J7" s="27" t="s">
        <v>62</v>
      </c>
      <c r="K7" s="17" t="s">
        <v>108</v>
      </c>
      <c r="L7" s="17" t="s">
        <v>84</v>
      </c>
      <c r="M7" s="22" t="s">
        <v>88</v>
      </c>
      <c r="N7" s="14"/>
      <c r="O7" s="17">
        <v>9876543210</v>
      </c>
      <c r="P7" s="13" t="s">
        <v>60</v>
      </c>
      <c r="Q7" s="13" t="s">
        <v>61</v>
      </c>
      <c r="R7" s="13" t="s">
        <v>60</v>
      </c>
      <c r="S7" s="13">
        <v>53.4</v>
      </c>
      <c r="T7" s="25"/>
      <c r="U7" s="13">
        <v>83</v>
      </c>
      <c r="V7" s="13" t="s">
        <v>63</v>
      </c>
      <c r="W7" s="13" t="s">
        <v>63</v>
      </c>
      <c r="X7" s="29">
        <v>9.25</v>
      </c>
      <c r="Y7" s="30">
        <v>7.8</v>
      </c>
      <c r="Z7" s="31">
        <v>6.6</v>
      </c>
      <c r="AA7" s="13" t="s">
        <v>61</v>
      </c>
      <c r="AB7" s="13">
        <v>11</v>
      </c>
      <c r="AC7" s="14"/>
      <c r="AD7" s="32">
        <v>2.14</v>
      </c>
      <c r="AE7" s="14"/>
      <c r="AF7" s="14"/>
      <c r="AG7" s="14"/>
      <c r="AH7" s="14"/>
      <c r="AI7" s="14"/>
      <c r="AJ7" s="33">
        <v>11</v>
      </c>
      <c r="AK7" s="14"/>
      <c r="AL7" s="5"/>
    </row>
  </sheetData>
  <mergeCells count="36">
    <mergeCell ref="AK1:AL1"/>
    <mergeCell ref="Y1:Y2"/>
    <mergeCell ref="Z1:Z2"/>
    <mergeCell ref="AA1:AA2"/>
    <mergeCell ref="AB1:AB2"/>
    <mergeCell ref="AC1:AC2"/>
    <mergeCell ref="AD1:AD2"/>
    <mergeCell ref="AE1:AE2"/>
    <mergeCell ref="AF1:AF2"/>
    <mergeCell ref="AG1:AH1"/>
    <mergeCell ref="AI1:AI2"/>
    <mergeCell ref="AJ1:AJ2"/>
    <mergeCell ref="X1:X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conditionalFormatting sqref="V3:W3 X3:Z7 AD3:AD7">
    <cfRule type="containsText" dxfId="7" priority="9" operator="containsText" text="AB">
      <formula>NOT(ISERROR(SEARCH(("AB"),(V3))))</formula>
    </cfRule>
  </conditionalFormatting>
  <conditionalFormatting sqref="V3:W3 X3:Z7 AD3:AD7">
    <cfRule type="containsText" dxfId="6" priority="8" operator="containsText" text="P">
      <formula>NOT(ISERROR(SEARCH(("P"),(V3))))</formula>
    </cfRule>
  </conditionalFormatting>
  <conditionalFormatting sqref="V3:Z3 AD3">
    <cfRule type="containsText" dxfId="5" priority="7" operator="containsText" text="DO">
      <formula>NOT(ISERROR(SEARCH(("DO"),(V3))))</formula>
    </cfRule>
  </conditionalFormatting>
  <hyperlinks>
    <hyperlink ref="J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2020-2024</vt:lpstr>
      <vt:lpstr>No Standing Arrear</vt:lpstr>
      <vt:lpstr>Less than 3 Arrear</vt:lpstr>
      <vt:lpstr>More than 3 Arrear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2018-07-26T10:44:05Z</cp:lastPrinted>
  <dcterms:created xsi:type="dcterms:W3CDTF">2016-07-13T06:14:10Z</dcterms:created>
  <dcterms:modified xsi:type="dcterms:W3CDTF">2026-06-21T10:14:20Z</dcterms:modified>
</cp:coreProperties>
</file>